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" sheetId="1" state="visible" r:id="rId3"/>
    <sheet name="가입자" sheetId="2" state="visible" r:id="rId4"/>
    <sheet name="손익" sheetId="3" state="visible" r:id="rId5"/>
    <sheet name="현금" sheetId="4" state="visible" r:id="rId6"/>
    <sheet name="유닛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<sst xmlns="http://schemas.openxmlformats.org/spreadsheetml/2006/main" count="396" uniqueCount="275">
  <si>
    <r>
      <rPr>
        <b val="true"/>
        <sz val="13"/>
        <rFont val="Arial"/>
        <family val="0"/>
        <charset val="1"/>
      </rPr>
      <t xml:space="preserve">Kindy </t>
    </r>
    <r>
      <rPr>
        <b val="true"/>
        <sz val="13"/>
        <rFont val="Noto Sans CJK SC"/>
        <family val="2"/>
      </rPr>
      <t xml:space="preserve">재무모델 </t>
    </r>
    <r>
      <rPr>
        <b val="true"/>
        <sz val="13"/>
        <rFont val="Arial"/>
        <family val="0"/>
        <charset val="1"/>
      </rPr>
      <t xml:space="preserve">v1.3 — </t>
    </r>
    <r>
      <rPr>
        <b val="true"/>
        <sz val="13"/>
        <rFont val="Noto Sans CJK SC"/>
        <family val="2"/>
      </rPr>
      <t xml:space="preserve">가정 </t>
    </r>
    <r>
      <rPr>
        <b val="true"/>
        <sz val="13"/>
        <rFont val="Arial"/>
        <family val="0"/>
        <charset val="1"/>
      </rPr>
      <t xml:space="preserve">(Assumptions) · </t>
    </r>
    <r>
      <rPr>
        <b val="true"/>
        <sz val="13"/>
        <rFont val="Noto Sans CJK SC"/>
        <family val="2"/>
      </rPr>
      <t xml:space="preserve">검증상태 관리</t>
    </r>
  </si>
  <si>
    <t xml:space="preserve">색상: 파랑=입력값(수정 가능) / 검정=수식 / 초록=타 시트 링크 / 노랑배경=핵심 가정</t>
  </si>
  <si>
    <t xml:space="preserve">시나리오 선택 (1=보수 / 2=기본 / 3=낙관)</t>
  </si>
  <si>
    <t xml:space="preserve">보수</t>
  </si>
  <si>
    <t xml:space="preserve">기본</t>
  </si>
  <si>
    <t xml:space="preserve">낙관</t>
  </si>
  <si>
    <t xml:space="preserve">검증상태</t>
  </si>
  <si>
    <r>
      <rPr>
        <b val="true"/>
        <sz val="10"/>
        <rFont val="Arial"/>
        <family val="0"/>
        <charset val="1"/>
      </rPr>
      <t xml:space="preserve">── B2C </t>
    </r>
    <r>
      <rPr>
        <b val="true"/>
        <sz val="10"/>
        <rFont val="Noto Sans CJK SC"/>
        <family val="2"/>
      </rPr>
      <t xml:space="preserve">가격 ──</t>
    </r>
  </si>
  <si>
    <t xml:space="preserve">베타 월 구독료 (VAT포함, ₩)</t>
  </si>
  <si>
    <t xml:space="preserve">얼리버드: 첫 6개월 신규 대상. 근거: 백서 v1.1 §8.4</t>
  </si>
  <si>
    <r>
      <rPr>
        <sz val="9"/>
        <color rgb="FFB05000"/>
        <rFont val="Noto Sans CJK SC"/>
        <family val="2"/>
      </rPr>
      <t xml:space="preserve">결정</t>
    </r>
    <r>
      <rPr>
        <sz val="9"/>
        <color rgb="FFB05000"/>
        <rFont val="Arial"/>
        <family val="0"/>
        <charset val="1"/>
      </rPr>
      <t xml:space="preserve">(P-1 </t>
    </r>
    <r>
      <rPr>
        <sz val="9"/>
        <color rgb="FFB05000"/>
        <rFont val="Noto Sans CJK SC"/>
        <family val="2"/>
      </rPr>
      <t xml:space="preserve">도서관한정</t>
    </r>
    <r>
      <rPr>
        <sz val="9"/>
        <color rgb="FFB05000"/>
        <rFont val="Arial"/>
        <family val="0"/>
        <charset val="1"/>
      </rPr>
      <t xml:space="preserve">)</t>
    </r>
  </si>
  <si>
    <t xml:space="preserve">정가 월 구독료 (VAT포함, ₩)</t>
  </si>
  <si>
    <t xml:space="preserve">근거: IR ARPU 25,000 / 백서 스위트스팟</t>
  </si>
  <si>
    <t xml:space="preserve">결정</t>
  </si>
  <si>
    <t xml:space="preserve">베타 가격 적용 종료월 (M)</t>
  </si>
  <si>
    <r>
      <rPr>
        <sz val="9"/>
        <color rgb="FF777777"/>
        <rFont val="Arial"/>
        <family val="0"/>
        <charset val="1"/>
      </rPr>
      <t xml:space="preserve">M7</t>
    </r>
    <r>
      <rPr>
        <sz val="9"/>
        <color rgb="FF777777"/>
        <rFont val="Noto Sans CJK SC"/>
        <family val="2"/>
      </rPr>
      <t xml:space="preserve">부터 정가</t>
    </r>
  </si>
  <si>
    <r>
      <rPr>
        <sz val="9"/>
        <color rgb="FFB05000"/>
        <rFont val="Noto Sans CJK SC"/>
        <family val="2"/>
      </rPr>
      <t xml:space="preserve">결정</t>
    </r>
    <r>
      <rPr>
        <sz val="9"/>
        <color rgb="FFB05000"/>
        <rFont val="Arial"/>
        <family val="0"/>
        <charset val="1"/>
      </rPr>
      <t xml:space="preserve">(12</t>
    </r>
    <r>
      <rPr>
        <sz val="9"/>
        <color rgb="FFB05000"/>
        <rFont val="Noto Sans CJK SC"/>
        <family val="2"/>
      </rPr>
      <t xml:space="preserve">개월 락</t>
    </r>
    <r>
      <rPr>
        <sz val="9"/>
        <color rgb="FFB05000"/>
        <rFont val="Arial"/>
        <family val="0"/>
        <charset val="1"/>
      </rPr>
      <t xml:space="preserve">)</t>
    </r>
  </si>
  <si>
    <t xml:space="preserve">얼리버드 락인 ARPU 희석률</t>
  </si>
  <si>
    <t xml:space="preserve">락인 가구 잔존으로 정가 대비 blended ARPU 하락분(추정)</t>
  </si>
  <si>
    <r>
      <rPr>
        <sz val="9"/>
        <color rgb="FFB05000"/>
        <rFont val="Noto Sans CJK SC"/>
        <family val="2"/>
      </rPr>
      <t xml:space="preserve">가정→</t>
    </r>
    <r>
      <rPr>
        <sz val="9"/>
        <color rgb="FFB05000"/>
        <rFont val="Arial"/>
        <family val="0"/>
        <charset val="1"/>
      </rPr>
      <t xml:space="preserve">M7 </t>
    </r>
    <r>
      <rPr>
        <sz val="9"/>
        <color rgb="FFB05000"/>
        <rFont val="Noto Sans CJK SC"/>
        <family val="2"/>
      </rPr>
      <t xml:space="preserve">실측</t>
    </r>
  </si>
  <si>
    <t xml:space="preserve">형제 프로필 attach율</t>
  </si>
  <si>
    <t xml:space="preserve">가구당 자녀 추가 프로필</t>
  </si>
  <si>
    <r>
      <rPr>
        <sz val="9"/>
        <color rgb="FFB05000"/>
        <rFont val="Noto Sans CJK SC"/>
        <family val="2"/>
      </rPr>
      <t xml:space="preserve">가정→</t>
    </r>
    <r>
      <rPr>
        <sz val="9"/>
        <color rgb="FFB05000"/>
        <rFont val="Arial"/>
        <family val="0"/>
        <charset val="1"/>
      </rPr>
      <t xml:space="preserve">M3 </t>
    </r>
    <r>
      <rPr>
        <sz val="9"/>
        <color rgb="FFB05000"/>
        <rFont val="Noto Sans CJK SC"/>
        <family val="2"/>
      </rPr>
      <t xml:space="preserve">실측</t>
    </r>
  </si>
  <si>
    <t xml:space="preserve">형제 프로필 월가 (VAT포함, ₩)</t>
  </si>
  <si>
    <t xml:space="preserve">연간플랜 비중 (신규 중)</t>
  </si>
  <si>
    <t xml:space="preserve">기본 0%. 활성화 시 현금 선수 효과가 현금 시트에 반영</t>
  </si>
  <si>
    <r>
      <rPr>
        <sz val="9"/>
        <color rgb="FFB05000"/>
        <rFont val="Noto Sans CJK SC"/>
        <family val="2"/>
      </rPr>
      <t xml:space="preserve">결정</t>
    </r>
    <r>
      <rPr>
        <sz val="9"/>
        <color rgb="FFB05000"/>
        <rFont val="Arial"/>
        <family val="0"/>
        <charset val="1"/>
      </rPr>
      <t xml:space="preserve">(</t>
    </r>
    <r>
      <rPr>
        <sz val="9"/>
        <color rgb="FFB05000"/>
        <rFont val="Noto Sans CJK SC"/>
        <family val="2"/>
      </rPr>
      <t xml:space="preserve">기본 </t>
    </r>
    <r>
      <rPr>
        <sz val="9"/>
        <color rgb="FFB05000"/>
        <rFont val="Arial"/>
        <family val="0"/>
        <charset val="1"/>
      </rPr>
      <t xml:space="preserve">0%)</t>
    </r>
  </si>
  <si>
    <t xml:space="preserve">연간플랜 가격 (VAT포함, ₩)</t>
  </si>
  <si>
    <t xml:space="preserve">월 15,833 효과 = 17% 할인</t>
  </si>
  <si>
    <t xml:space="preserve">── 퍼널 (도서관 키오스크) ──</t>
  </si>
  <si>
    <t xml:space="preserve">키오스크 세션 수 / 관 / 월</t>
  </si>
  <si>
    <t xml:space="preserve">일 40세션 × 30일. 실측치로 교체 필요(스프린트 W2 계측)</t>
  </si>
  <si>
    <r>
      <rPr>
        <sz val="9"/>
        <color rgb="FFB05000"/>
        <rFont val="Noto Sans CJK SC"/>
        <family val="2"/>
      </rPr>
      <t xml:space="preserve">가정→</t>
    </r>
    <r>
      <rPr>
        <sz val="9"/>
        <color rgb="FFB05000"/>
        <rFont val="Arial"/>
        <family val="0"/>
        <charset val="1"/>
      </rPr>
      <t xml:space="preserve">W2 </t>
    </r>
    <r>
      <rPr>
        <sz val="9"/>
        <color rgb="FFB05000"/>
        <rFont val="Noto Sans CJK SC"/>
        <family val="2"/>
      </rPr>
      <t xml:space="preserve">실측</t>
    </r>
  </si>
  <si>
    <t xml:space="preserve">세션→QR 스캔율</t>
  </si>
  <si>
    <t xml:space="preserve">★ 최대 불확실 변수. W2 실측으로 교체</t>
  </si>
  <si>
    <r>
      <rPr>
        <sz val="9"/>
        <color rgb="FFB05000"/>
        <rFont val="Noto Sans CJK SC"/>
        <family val="2"/>
      </rPr>
      <t xml:space="preserve">★가정→</t>
    </r>
    <r>
      <rPr>
        <sz val="9"/>
        <color rgb="FFB05000"/>
        <rFont val="Arial"/>
        <family val="0"/>
        <charset val="1"/>
      </rPr>
      <t xml:space="preserve">W2 </t>
    </r>
    <r>
      <rPr>
        <sz val="9"/>
        <color rgb="FFB05000"/>
        <rFont val="Noto Sans CJK SC"/>
        <family val="2"/>
      </rPr>
      <t xml:space="preserve">실측</t>
    </r>
  </si>
  <si>
    <r>
      <rPr>
        <sz val="10"/>
        <rFont val="Arial"/>
        <family val="0"/>
        <charset val="1"/>
      </rPr>
      <t xml:space="preserve">QR→</t>
    </r>
    <r>
      <rPr>
        <sz val="10"/>
        <rFont val="Noto Sans CJK SC"/>
        <family val="2"/>
      </rPr>
      <t xml:space="preserve">가입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부모동의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완료율</t>
    </r>
  </si>
  <si>
    <r>
      <rPr>
        <sz val="9"/>
        <color rgb="FF777777"/>
        <rFont val="Arial"/>
        <family val="0"/>
        <charset val="1"/>
      </rPr>
      <t xml:space="preserve">PIPA </t>
    </r>
    <r>
      <rPr>
        <sz val="9"/>
        <color rgb="FF777777"/>
        <rFont val="Noto Sans CJK SC"/>
        <family val="2"/>
      </rPr>
      <t xml:space="preserve">동의 플로우 포함</t>
    </r>
  </si>
  <si>
    <r>
      <rPr>
        <sz val="9"/>
        <color rgb="FFB05000"/>
        <rFont val="Noto Sans CJK SC"/>
        <family val="2"/>
      </rPr>
      <t xml:space="preserve">가정→</t>
    </r>
    <r>
      <rPr>
        <sz val="9"/>
        <color rgb="FFB05000"/>
        <rFont val="Arial"/>
        <family val="0"/>
        <charset val="1"/>
      </rPr>
      <t xml:space="preserve">W3 </t>
    </r>
    <r>
      <rPr>
        <sz val="9"/>
        <color rgb="FFB05000"/>
        <rFont val="Noto Sans CJK SC"/>
        <family val="2"/>
      </rPr>
      <t xml:space="preserve">실측</t>
    </r>
  </si>
  <si>
    <t xml:space="preserve">가입→무료체험(3세션) 시작률</t>
  </si>
  <si>
    <t xml:space="preserve">체험→유료 전환율</t>
  </si>
  <si>
    <t xml:space="preserve">근거: 온보딩 리서치 트라이얼→유료 중앙값 50~60%</t>
  </si>
  <si>
    <r>
      <rPr>
        <sz val="9"/>
        <color rgb="FFB05000"/>
        <rFont val="Noto Sans CJK SC"/>
        <family val="2"/>
      </rPr>
      <t xml:space="preserve">★가정→</t>
    </r>
    <r>
      <rPr>
        <sz val="9"/>
        <color rgb="FFB05000"/>
        <rFont val="Arial"/>
        <family val="0"/>
        <charset val="1"/>
      </rPr>
      <t xml:space="preserve">W5 </t>
    </r>
    <r>
      <rPr>
        <sz val="9"/>
        <color rgb="FFB05000"/>
        <rFont val="Noto Sans CJK SC"/>
        <family val="2"/>
      </rPr>
      <t xml:space="preserve">실측</t>
    </r>
  </si>
  <si>
    <t xml:space="preserve">월 이탈률 (churn)</t>
  </si>
  <si>
    <t xml:space="preserve">근거: 백서 v1.1 §8.1</t>
  </si>
  <si>
    <r>
      <rPr>
        <sz val="9"/>
        <color rgb="FFB05000"/>
        <rFont val="Arial"/>
        <family val="0"/>
        <charset val="1"/>
      </rPr>
      <t xml:space="preserve">★W7 W4</t>
    </r>
    <r>
      <rPr>
        <sz val="9"/>
        <color rgb="FFB05000"/>
        <rFont val="Noto Sans CJK SC"/>
        <family val="2"/>
      </rPr>
      <t xml:space="preserve">유지→</t>
    </r>
    <r>
      <rPr>
        <sz val="9"/>
        <color rgb="FFB05000"/>
        <rFont val="Arial"/>
        <family val="0"/>
        <charset val="1"/>
      </rPr>
      <t xml:space="preserve">M4 steady</t>
    </r>
  </si>
  <si>
    <r>
      <rPr>
        <b val="true"/>
        <sz val="10"/>
        <rFont val="Arial"/>
        <family val="0"/>
        <charset val="1"/>
      </rPr>
      <t xml:space="preserve">── Paid </t>
    </r>
    <r>
      <rPr>
        <b val="true"/>
        <sz val="10"/>
        <rFont val="Noto Sans CJK SC"/>
        <family val="2"/>
      </rPr>
      <t xml:space="preserve">마케팅 ──</t>
    </r>
  </si>
  <si>
    <t xml:space="preserve">목표 CAC (paid, ₩)</t>
  </si>
  <si>
    <t xml:space="preserve">근거: IR paid IG=30K. W5 실측으로 검증</t>
  </si>
  <si>
    <r>
      <rPr>
        <sz val="9"/>
        <color rgb="FFB05000"/>
        <rFont val="Noto Sans CJK SC"/>
        <family val="2"/>
      </rPr>
      <t xml:space="preserve">가정→</t>
    </r>
    <r>
      <rPr>
        <sz val="9"/>
        <color rgb="FFB05000"/>
        <rFont val="Arial"/>
        <family val="0"/>
        <charset val="1"/>
      </rPr>
      <t xml:space="preserve">W5 </t>
    </r>
    <r>
      <rPr>
        <sz val="9"/>
        <color rgb="FFB05000"/>
        <rFont val="Noto Sans CJK SC"/>
        <family val="2"/>
      </rPr>
      <t xml:space="preserve">실측</t>
    </r>
  </si>
  <si>
    <t xml:space="preserve">── 변동원가 (가구당/월) ──</t>
  </si>
  <si>
    <t xml:space="preserve">결제수수료율 (결제액 대비)</t>
  </si>
  <si>
    <r>
      <rPr>
        <sz val="9"/>
        <color rgb="FF777777"/>
        <rFont val="Arial"/>
        <family val="0"/>
        <charset val="1"/>
      </rPr>
      <t xml:space="preserve">Toss </t>
    </r>
    <r>
      <rPr>
        <sz val="9"/>
        <color rgb="FF777777"/>
        <rFont val="Noto Sans CJK SC"/>
        <family val="2"/>
      </rPr>
      <t xml:space="preserve">일반 카드 </t>
    </r>
    <r>
      <rPr>
        <sz val="9"/>
        <color rgb="FF777777"/>
        <rFont val="Arial"/>
        <family val="0"/>
        <charset val="1"/>
      </rPr>
      <t xml:space="preserve">3.4% </t>
    </r>
    <r>
      <rPr>
        <sz val="9"/>
        <color rgb="FF777777"/>
        <rFont val="Noto Sans CJK SC"/>
        <family val="2"/>
      </rPr>
      <t xml:space="preserve">기준</t>
    </r>
    <r>
      <rPr>
        <sz val="9"/>
        <color rgb="FF777777"/>
        <rFont val="Arial"/>
        <family val="0"/>
        <charset val="1"/>
      </rPr>
      <t xml:space="preserve">. </t>
    </r>
    <r>
      <rPr>
        <sz val="9"/>
        <color rgb="FF777777"/>
        <rFont val="Noto Sans CJK SC"/>
        <family val="2"/>
      </rPr>
      <t xml:space="preserve">영세</t>
    </r>
    <r>
      <rPr>
        <sz val="9"/>
        <color rgb="FF777777"/>
        <rFont val="Arial"/>
        <family val="0"/>
        <charset val="1"/>
      </rPr>
      <t xml:space="preserve">(</t>
    </r>
    <r>
      <rPr>
        <sz val="9"/>
        <color rgb="FF777777"/>
        <rFont val="Noto Sans CJK SC"/>
        <family val="2"/>
      </rPr>
      <t xml:space="preserve">연매출 </t>
    </r>
    <r>
      <rPr>
        <sz val="9"/>
        <color rgb="FF777777"/>
        <rFont val="Arial"/>
        <family val="0"/>
        <charset val="1"/>
      </rPr>
      <t xml:space="preserve">3</t>
    </r>
    <r>
      <rPr>
        <sz val="9"/>
        <color rgb="FF777777"/>
        <rFont val="Noto Sans CJK SC"/>
        <family val="2"/>
      </rPr>
      <t xml:space="preserve">억 미만</t>
    </r>
    <r>
      <rPr>
        <sz val="9"/>
        <color rgb="FF777777"/>
        <rFont val="Arial"/>
        <family val="0"/>
        <charset val="1"/>
      </rPr>
      <t xml:space="preserve">) </t>
    </r>
    <r>
      <rPr>
        <sz val="9"/>
        <color rgb="FF777777"/>
        <rFont val="Noto Sans CJK SC"/>
        <family val="2"/>
      </rPr>
      <t xml:space="preserve">우대는 확정 후 자동반영</t>
    </r>
    <r>
      <rPr>
        <sz val="9"/>
        <color rgb="FF777777"/>
        <rFont val="Arial"/>
        <family val="0"/>
        <charset val="1"/>
      </rPr>
      <t xml:space="preserve">/</t>
    </r>
    <r>
      <rPr>
        <sz val="9"/>
        <color rgb="FF777777"/>
        <rFont val="Noto Sans CJK SC"/>
        <family val="2"/>
      </rPr>
      <t xml:space="preserve">환급 구조 확인</t>
    </r>
  </si>
  <si>
    <r>
      <rPr>
        <sz val="9"/>
        <color rgb="FFB05000"/>
        <rFont val="Noto Sans CJK SC"/>
        <family val="2"/>
      </rPr>
      <t xml:space="preserve">실측</t>
    </r>
    <r>
      <rPr>
        <sz val="9"/>
        <color rgb="FFB05000"/>
        <rFont val="Arial"/>
        <family val="0"/>
        <charset val="1"/>
      </rPr>
      <t xml:space="preserve">(</t>
    </r>
    <r>
      <rPr>
        <sz val="9"/>
        <color rgb="FFB05000"/>
        <rFont val="Noto Sans CJK SC"/>
        <family val="2"/>
      </rPr>
      <t xml:space="preserve">계약 확인</t>
    </r>
    <r>
      <rPr>
        <sz val="9"/>
        <color rgb="FFB05000"/>
        <rFont val="Arial"/>
        <family val="0"/>
        <charset val="1"/>
      </rPr>
      <t xml:space="preserve">)</t>
    </r>
  </si>
  <si>
    <t xml:space="preserve">인프라·스트리밍 (₩)</t>
  </si>
  <si>
    <r>
      <rPr>
        <sz val="9"/>
        <color rgb="FF777777"/>
        <rFont val="Arial"/>
        <family val="0"/>
        <charset val="1"/>
      </rPr>
      <t xml:space="preserve">CDN egress+Supabase+GCS, </t>
    </r>
    <r>
      <rPr>
        <sz val="9"/>
        <color rgb="FF777777"/>
        <rFont val="Noto Sans CJK SC"/>
        <family val="2"/>
      </rPr>
      <t xml:space="preserve">월 </t>
    </r>
    <r>
      <rPr>
        <sz val="9"/>
        <color rgb="FF777777"/>
        <rFont val="Arial"/>
        <family val="0"/>
        <charset val="1"/>
      </rPr>
      <t xml:space="preserve">4</t>
    </r>
    <r>
      <rPr>
        <sz val="9"/>
        <color rgb="FF777777"/>
        <rFont val="Noto Sans CJK SC"/>
        <family val="2"/>
      </rPr>
      <t xml:space="preserve">시간 시청 가정</t>
    </r>
  </si>
  <si>
    <r>
      <rPr>
        <sz val="9"/>
        <color rgb="FFB05000"/>
        <rFont val="Noto Sans CJK SC"/>
        <family val="2"/>
      </rPr>
      <t xml:space="preserve">가정→</t>
    </r>
    <r>
      <rPr>
        <sz val="9"/>
        <color rgb="FFB05000"/>
        <rFont val="Arial"/>
        <family val="0"/>
        <charset val="1"/>
      </rPr>
      <t xml:space="preserve">M2 </t>
    </r>
    <r>
      <rPr>
        <sz val="9"/>
        <color rgb="FFB05000"/>
        <rFont val="Noto Sans CJK SC"/>
        <family val="2"/>
      </rPr>
      <t xml:space="preserve">실측</t>
    </r>
  </si>
  <si>
    <t xml:space="preserve">개인화 L2 호명 등 (₩)</t>
  </si>
  <si>
    <r>
      <rPr>
        <sz val="9"/>
        <color rgb="FF777777"/>
        <rFont val="Arial"/>
        <family val="0"/>
        <charset val="1"/>
      </rPr>
      <t xml:space="preserve">TTS </t>
    </r>
    <r>
      <rPr>
        <sz val="9"/>
        <color rgb="FF777777"/>
        <rFont val="Noto Sans CJK SC"/>
        <family val="2"/>
      </rPr>
      <t xml:space="preserve">이름 세그먼트</t>
    </r>
  </si>
  <si>
    <r>
      <rPr>
        <sz val="9"/>
        <color rgb="FFB05000"/>
        <rFont val="Noto Sans CJK SC"/>
        <family val="2"/>
      </rPr>
      <t xml:space="preserve">폐기</t>
    </r>
    <r>
      <rPr>
        <sz val="9"/>
        <color rgb="FFB05000"/>
        <rFont val="Arial"/>
        <family val="0"/>
        <charset val="1"/>
      </rPr>
      <t xml:space="preserve">(</t>
    </r>
    <r>
      <rPr>
        <sz val="9"/>
        <color rgb="FFB05000"/>
        <rFont val="Noto Sans CJK SC"/>
        <family val="2"/>
      </rPr>
      <t xml:space="preserve">티어로 대체</t>
    </r>
    <r>
      <rPr>
        <sz val="9"/>
        <color rgb="FFB05000"/>
        <rFont val="Arial"/>
        <family val="0"/>
        <charset val="1"/>
      </rPr>
      <t xml:space="preserve">)</t>
    </r>
  </si>
  <si>
    <t xml:space="preserve">── 콘텐츠 제작 (고정성 원가) ──</t>
  </si>
  <si>
    <t xml:space="preserve">에피소드 제작 원가 / 편 (₩)</t>
  </si>
  <si>
    <r>
      <rPr>
        <sz val="9"/>
        <color rgb="FF777777"/>
        <rFont val="Arial"/>
        <family val="0"/>
        <charset val="1"/>
      </rPr>
      <t xml:space="preserve">4~5</t>
    </r>
    <r>
      <rPr>
        <sz val="9"/>
        <color rgb="FF777777"/>
        <rFont val="Noto Sans CJK SC"/>
        <family val="2"/>
      </rPr>
      <t xml:space="preserve">분 에피소드</t>
    </r>
    <r>
      <rPr>
        <sz val="9"/>
        <color rgb="FF777777"/>
        <rFont val="Arial"/>
        <family val="0"/>
        <charset val="1"/>
      </rPr>
      <t xml:space="preserve">, AI </t>
    </r>
    <r>
      <rPr>
        <sz val="9"/>
        <color rgb="FF777777"/>
        <rFont val="Noto Sans CJK SC"/>
        <family val="2"/>
      </rPr>
      <t xml:space="preserve">파이프라인 기준</t>
    </r>
    <r>
      <rPr>
        <sz val="9"/>
        <color rgb="FF777777"/>
        <rFont val="Arial"/>
        <family val="0"/>
        <charset val="1"/>
      </rPr>
      <t xml:space="preserve">(</t>
    </r>
    <r>
      <rPr>
        <sz val="9"/>
        <color rgb="FF777777"/>
        <rFont val="Noto Sans CJK SC"/>
        <family val="2"/>
      </rPr>
      <t xml:space="preserve">모델 스택 마스터플랜 참조</t>
    </r>
    <r>
      <rPr>
        <sz val="9"/>
        <color rgb="FF777777"/>
        <rFont val="Arial"/>
        <family val="0"/>
        <charset val="1"/>
      </rPr>
      <t xml:space="preserve">)</t>
    </r>
  </si>
  <si>
    <r>
      <rPr>
        <sz val="9"/>
        <color rgb="FFB05000"/>
        <rFont val="Noto Sans CJK SC"/>
        <family val="2"/>
      </rPr>
      <t xml:space="preserve">가정→</t>
    </r>
    <r>
      <rPr>
        <sz val="9"/>
        <color rgb="FFB05000"/>
        <rFont val="Arial"/>
        <family val="0"/>
        <charset val="1"/>
      </rPr>
      <t xml:space="preserve">R1 </t>
    </r>
    <r>
      <rPr>
        <sz val="9"/>
        <color rgb="FFB05000"/>
        <rFont val="Noto Sans CJK SC"/>
        <family val="2"/>
      </rPr>
      <t xml:space="preserve">실측</t>
    </r>
  </si>
  <si>
    <t xml:space="preserve">월 신규 에피소드 수</t>
  </si>
  <si>
    <t xml:space="preserve">근거: 백서 §8.2 소진 대응</t>
  </si>
  <si>
    <t xml:space="preserve">운영 결정값</t>
  </si>
  <si>
    <t xml:space="preserve">── B2G ──</t>
  </si>
  <si>
    <t xml:space="preserve">도서관 관당 연 라이선스 (공급가, ₩)</t>
  </si>
  <si>
    <r>
      <rPr>
        <sz val="9"/>
        <color rgb="FF777777"/>
        <rFont val="Arial"/>
        <family val="0"/>
        <charset val="1"/>
      </rPr>
      <t xml:space="preserve">Standard </t>
    </r>
    <r>
      <rPr>
        <sz val="9"/>
        <color rgb="FF777777"/>
        <rFont val="Noto Sans CJK SC"/>
        <family val="2"/>
      </rPr>
      <t xml:space="preserve">티어</t>
    </r>
    <r>
      <rPr>
        <sz val="9"/>
        <color rgb="FF777777"/>
        <rFont val="Arial"/>
        <family val="0"/>
        <charset val="1"/>
      </rPr>
      <t xml:space="preserve">. </t>
    </r>
    <r>
      <rPr>
        <sz val="9"/>
        <color rgb="FF777777"/>
        <rFont val="Noto Sans CJK SC"/>
        <family val="2"/>
      </rPr>
      <t xml:space="preserve">수의계약 한도</t>
    </r>
    <r>
      <rPr>
        <sz val="9"/>
        <color rgb="FF777777"/>
        <rFont val="Arial"/>
        <family val="0"/>
        <charset val="1"/>
      </rPr>
      <t xml:space="preserve">(</t>
    </r>
    <r>
      <rPr>
        <sz val="9"/>
        <color rgb="FF777777"/>
        <rFont val="Noto Sans CJK SC"/>
        <family val="2"/>
      </rPr>
      <t xml:space="preserve">소기업 </t>
    </r>
    <r>
      <rPr>
        <sz val="9"/>
        <color rgb="FF777777"/>
        <rFont val="Arial"/>
        <family val="0"/>
        <charset val="1"/>
      </rPr>
      <t xml:space="preserve">5</t>
    </r>
    <r>
      <rPr>
        <sz val="9"/>
        <color rgb="FF777777"/>
        <rFont val="Noto Sans CJK SC"/>
        <family val="2"/>
      </rPr>
      <t xml:space="preserve">천만</t>
    </r>
    <r>
      <rPr>
        <sz val="9"/>
        <color rgb="FF777777"/>
        <rFont val="Arial"/>
        <family val="0"/>
        <charset val="1"/>
      </rPr>
      <t xml:space="preserve">) </t>
    </r>
    <r>
      <rPr>
        <sz val="9"/>
        <color rgb="FF777777"/>
        <rFont val="Noto Sans CJK SC"/>
        <family val="2"/>
      </rPr>
      <t xml:space="preserve">내 설계</t>
    </r>
  </si>
  <si>
    <t xml:space="preserve">계약별 실측</t>
  </si>
  <si>
    <t xml:space="preserve">── 세율·부대율 ──</t>
  </si>
  <si>
    <t xml:space="preserve">부가가치세율</t>
  </si>
  <si>
    <t xml:space="preserve">법정</t>
  </si>
  <si>
    <t xml:space="preserve">인건비 부대율 (4대보험+퇴직급여)</t>
  </si>
  <si>
    <t xml:space="preserve">사업주 4대보험 ~10.5% + 퇴직급여 8.33%</t>
  </si>
  <si>
    <r>
      <rPr>
        <sz val="9"/>
        <color rgb="FFB05000"/>
        <rFont val="Noto Sans CJK SC"/>
        <family val="2"/>
      </rPr>
      <t xml:space="preserve">법정</t>
    </r>
    <r>
      <rPr>
        <sz val="9"/>
        <color rgb="FFB05000"/>
        <rFont val="Arial"/>
        <family val="0"/>
        <charset val="1"/>
      </rPr>
      <t xml:space="preserve">+</t>
    </r>
    <r>
      <rPr>
        <sz val="9"/>
        <color rgb="FFB05000"/>
        <rFont val="Noto Sans CJK SC"/>
        <family val="2"/>
      </rPr>
      <t xml:space="preserve">정책</t>
    </r>
  </si>
  <si>
    <t xml:space="preserve">── 자금 ──</t>
  </si>
  <si>
    <r>
      <rPr>
        <sz val="10"/>
        <rFont val="Arial"/>
        <family val="0"/>
        <charset val="1"/>
      </rPr>
      <t xml:space="preserve">Seed </t>
    </r>
    <r>
      <rPr>
        <sz val="10"/>
        <rFont val="Noto Sans CJK SC"/>
        <family val="2"/>
      </rPr>
      <t xml:space="preserve">납입액 </t>
    </r>
    <r>
      <rPr>
        <sz val="10"/>
        <rFont val="Arial"/>
        <family val="0"/>
        <charset val="1"/>
      </rPr>
      <t xml:space="preserve">(₩, M1)</t>
    </r>
  </si>
  <si>
    <r>
      <rPr>
        <sz val="9"/>
        <color rgb="FF777777"/>
        <rFont val="Arial"/>
        <family val="0"/>
        <charset val="1"/>
      </rPr>
      <t xml:space="preserve">IR: 3</t>
    </r>
    <r>
      <rPr>
        <sz val="9"/>
        <color rgb="FF777777"/>
        <rFont val="Noto Sans CJK SC"/>
        <family val="2"/>
      </rPr>
      <t xml:space="preserve">억 </t>
    </r>
    <r>
      <rPr>
        <sz val="9"/>
        <color rgb="FF777777"/>
        <rFont val="Arial"/>
        <family val="0"/>
        <charset val="1"/>
      </rPr>
      <t xml:space="preserve">/ post 30</t>
    </r>
    <r>
      <rPr>
        <sz val="9"/>
        <color rgb="FF777777"/>
        <rFont val="Noto Sans CJK SC"/>
        <family val="2"/>
      </rPr>
      <t xml:space="preserve">억 </t>
    </r>
    <r>
      <rPr>
        <sz val="9"/>
        <color rgb="FF777777"/>
        <rFont val="Arial"/>
        <family val="0"/>
        <charset val="1"/>
      </rPr>
      <t xml:space="preserve">/ 10%</t>
    </r>
  </si>
  <si>
    <r>
      <rPr>
        <sz val="9"/>
        <color rgb="FFB05000"/>
        <rFont val="Noto Sans CJK SC"/>
        <family val="2"/>
      </rPr>
      <t xml:space="preserve">실측</t>
    </r>
    <r>
      <rPr>
        <sz val="9"/>
        <color rgb="FFB05000"/>
        <rFont val="Arial"/>
        <family val="0"/>
        <charset val="1"/>
      </rPr>
      <t xml:space="preserve">(</t>
    </r>
    <r>
      <rPr>
        <sz val="9"/>
        <color rgb="FFB05000"/>
        <rFont val="Noto Sans CJK SC"/>
        <family val="2"/>
      </rPr>
      <t xml:space="preserve">납입</t>
    </r>
    <r>
      <rPr>
        <sz val="9"/>
        <color rgb="FFB05000"/>
        <rFont val="Arial"/>
        <family val="0"/>
        <charset val="1"/>
      </rPr>
      <t xml:space="preserve">)</t>
    </r>
  </si>
  <si>
    <t xml:space="preserve">── 인건비 계획 (역할 / 월급여 / 시작월) ──</t>
  </si>
  <si>
    <t xml:space="preserve">역할</t>
  </si>
  <si>
    <t xml:space="preserve">월급여(₩)</t>
  </si>
  <si>
    <t xml:space="preserve">시작월</t>
  </si>
  <si>
    <r>
      <rPr>
        <sz val="10"/>
        <rFont val="Arial"/>
        <family val="0"/>
        <charset val="1"/>
      </rPr>
      <t xml:space="preserve">CEO (</t>
    </r>
    <r>
      <rPr>
        <sz val="10"/>
        <rFont val="Noto Sans CJK SC"/>
        <family val="2"/>
      </rPr>
      <t xml:space="preserve">최소화</t>
    </r>
    <r>
      <rPr>
        <sz val="10"/>
        <rFont val="Arial"/>
        <family val="0"/>
        <charset val="1"/>
      </rPr>
      <t xml:space="preserve">)</t>
    </r>
  </si>
  <si>
    <t xml:space="preserve">개발자 A</t>
  </si>
  <si>
    <t xml:space="preserve">디자이너 (PT)</t>
  </si>
  <si>
    <t xml:space="preserve">콘텐츠·검수</t>
  </si>
  <si>
    <t xml:space="preserve">CS (PT)</t>
  </si>
  <si>
    <t xml:space="preserve">개발자 B</t>
  </si>
  <si>
    <t xml:space="preserve">마케터</t>
  </si>
  <si>
    <t xml:space="preserve">월 기타 고정비 (임차·툴·법무회계, ₩)</t>
  </si>
  <si>
    <r>
      <rPr>
        <sz val="10"/>
        <rFont val="Arial"/>
        <family val="0"/>
        <charset val="1"/>
      </rPr>
      <t xml:space="preserve">iOS IAP </t>
    </r>
    <r>
      <rPr>
        <sz val="10"/>
        <rFont val="Noto Sans CJK SC"/>
        <family val="2"/>
      </rPr>
      <t xml:space="preserve">결제 비중</t>
    </r>
  </si>
  <si>
    <r>
      <rPr>
        <i val="true"/>
        <sz val="9"/>
        <color rgb="FF777777"/>
        <rFont val="Arial"/>
        <family val="0"/>
        <charset val="1"/>
      </rPr>
      <t xml:space="preserve">D-6 </t>
    </r>
    <r>
      <rPr>
        <i val="true"/>
        <sz val="9"/>
        <color rgb="FF777777"/>
        <rFont val="Noto Sans CJK SC"/>
        <family val="2"/>
      </rPr>
      <t xml:space="preserve">게이트</t>
    </r>
    <r>
      <rPr>
        <i val="true"/>
        <sz val="9"/>
        <color rgb="FF777777"/>
        <rFont val="Arial"/>
        <family val="0"/>
        <charset val="1"/>
      </rPr>
      <t xml:space="preserve">: Web-first </t>
    </r>
    <r>
      <rPr>
        <i val="true"/>
        <sz val="9"/>
        <color rgb="FF777777"/>
        <rFont val="Noto Sans CJK SC"/>
        <family val="2"/>
      </rPr>
      <t xml:space="preserve">확정으로 </t>
    </r>
    <r>
      <rPr>
        <i val="true"/>
        <sz val="9"/>
        <color rgb="FF777777"/>
        <rFont val="Arial"/>
        <family val="0"/>
        <charset val="1"/>
      </rPr>
      <t xml:space="preserve">0%. StoreKit </t>
    </r>
    <r>
      <rPr>
        <i val="true"/>
        <sz val="9"/>
        <color rgb="FF777777"/>
        <rFont val="Noto Sans CJK SC"/>
        <family val="2"/>
      </rPr>
      <t xml:space="preserve">도입 시 채널 분리 필요</t>
    </r>
  </si>
  <si>
    <r>
      <rPr>
        <sz val="10"/>
        <rFont val="Arial"/>
        <family val="0"/>
        <charset val="1"/>
      </rPr>
      <t xml:space="preserve">iOS IAP </t>
    </r>
    <r>
      <rPr>
        <sz val="10"/>
        <rFont val="Noto Sans CJK SC"/>
        <family val="2"/>
      </rPr>
      <t xml:space="preserve">수수료율</t>
    </r>
  </si>
  <si>
    <t xml:space="preserve">중소개발자 15% 해당 시 하향. 국내 제3자결제(~26%)는 Kids 심사 리스크로 MVP 제외</t>
  </si>
  <si>
    <t xml:space="preserve">── 주인공 개인화 티어 [v1.2] ──</t>
  </si>
  <si>
    <t xml:space="preserve">개인화 티어 (0=없음/1=A/2=B/3=C)</t>
  </si>
  <si>
    <r>
      <rPr>
        <i val="true"/>
        <sz val="9"/>
        <color rgb="FF777777"/>
        <rFont val="Arial"/>
        <family val="0"/>
        <charset val="1"/>
      </rPr>
      <t xml:space="preserve">A=</t>
    </r>
    <r>
      <rPr>
        <i val="true"/>
        <sz val="9"/>
        <color rgb="FF777777"/>
        <rFont val="Noto Sans CJK SC"/>
        <family val="2"/>
      </rPr>
      <t xml:space="preserve">호명</t>
    </r>
    <r>
      <rPr>
        <i val="true"/>
        <sz val="9"/>
        <color rgb="FF777777"/>
        <rFont val="Arial"/>
        <family val="0"/>
        <charset val="1"/>
      </rPr>
      <t xml:space="preserve">+</t>
    </r>
    <r>
      <rPr>
        <i val="true"/>
        <sz val="9"/>
        <color rgb="FF777777"/>
        <rFont val="Noto Sans CJK SC"/>
        <family val="2"/>
      </rPr>
      <t xml:space="preserve">아바타스틸 </t>
    </r>
    <r>
      <rPr>
        <i val="true"/>
        <sz val="9"/>
        <color rgb="FF777777"/>
        <rFont val="Arial"/>
        <family val="0"/>
        <charset val="1"/>
      </rPr>
      <t xml:space="preserve">/ B=+</t>
    </r>
    <r>
      <rPr>
        <i val="true"/>
        <sz val="9"/>
        <color rgb="FF777777"/>
        <rFont val="Noto Sans CJK SC"/>
        <family val="2"/>
      </rPr>
      <t xml:space="preserve">주</t>
    </r>
    <r>
      <rPr>
        <i val="true"/>
        <sz val="9"/>
        <color rgb="FF777777"/>
        <rFont val="Arial"/>
        <family val="0"/>
        <charset val="1"/>
      </rPr>
      <t xml:space="preserve">1 </t>
    </r>
    <r>
      <rPr>
        <i val="true"/>
        <sz val="9"/>
        <color rgb="FF777777"/>
        <rFont val="Noto Sans CJK SC"/>
        <family val="2"/>
      </rPr>
      <t xml:space="preserve">무빙컷 </t>
    </r>
    <r>
      <rPr>
        <i val="true"/>
        <sz val="9"/>
        <color rgb="FF777777"/>
        <rFont val="Arial"/>
        <family val="0"/>
        <charset val="1"/>
      </rPr>
      <t xml:space="preserve">/ C=+</t>
    </r>
    <r>
      <rPr>
        <i val="true"/>
        <sz val="9"/>
        <color rgb="FF777777"/>
        <rFont val="Noto Sans CJK SC"/>
        <family val="2"/>
      </rPr>
      <t xml:space="preserve">월간리캡</t>
    </r>
    <r>
      <rPr>
        <i val="true"/>
        <sz val="9"/>
        <color rgb="FF777777"/>
        <rFont val="Arial"/>
        <family val="0"/>
        <charset val="1"/>
      </rPr>
      <t xml:space="preserve">. </t>
    </r>
    <r>
      <rPr>
        <i val="true"/>
        <sz val="9"/>
        <color rgb="FF777777"/>
        <rFont val="Noto Sans CJK SC"/>
        <family val="2"/>
      </rPr>
      <t xml:space="preserve">승격은 </t>
    </r>
    <r>
      <rPr>
        <i val="true"/>
        <sz val="9"/>
        <color rgb="FF777777"/>
        <rFont val="Arial"/>
        <family val="0"/>
        <charset val="1"/>
      </rPr>
      <t xml:space="preserve">W4 </t>
    </r>
    <r>
      <rPr>
        <i val="true"/>
        <sz val="9"/>
        <color rgb="FF777777"/>
        <rFont val="Noto Sans CJK SC"/>
        <family val="2"/>
      </rPr>
      <t xml:space="preserve">유지율 </t>
    </r>
    <r>
      <rPr>
        <i val="true"/>
        <sz val="9"/>
        <color rgb="FF777777"/>
        <rFont val="Arial"/>
        <family val="0"/>
        <charset val="1"/>
      </rPr>
      <t xml:space="preserve">A/B</t>
    </r>
    <r>
      <rPr>
        <i val="true"/>
        <sz val="9"/>
        <color rgb="FF777777"/>
        <rFont val="Noto Sans CJK SC"/>
        <family val="2"/>
      </rPr>
      <t xml:space="preserve">로 판정</t>
    </r>
  </si>
  <si>
    <r>
      <rPr>
        <sz val="9"/>
        <color rgb="FFB05000"/>
        <rFont val="Noto Sans CJK SC"/>
        <family val="2"/>
      </rPr>
      <t xml:space="preserve">결정→</t>
    </r>
    <r>
      <rPr>
        <sz val="9"/>
        <color rgb="FFB05000"/>
        <rFont val="Arial"/>
        <family val="0"/>
        <charset val="1"/>
      </rPr>
      <t xml:space="preserve">W8 A/B </t>
    </r>
    <r>
      <rPr>
        <sz val="9"/>
        <color rgb="FFB05000"/>
        <rFont val="Noto Sans CJK SC"/>
        <family val="2"/>
      </rPr>
      <t xml:space="preserve">판정</t>
    </r>
  </si>
  <si>
    <t xml:space="preserve">티어A 아이당 월원가</t>
  </si>
  <si>
    <t xml:space="preserve">사전조합 렌더 적용 시 ~600까지 하락(개발계획서 §3)</t>
  </si>
  <si>
    <r>
      <rPr>
        <sz val="9"/>
        <color rgb="FFB05000"/>
        <rFont val="Noto Sans CJK SC"/>
        <family val="2"/>
      </rPr>
      <t xml:space="preserve">가정→</t>
    </r>
    <r>
      <rPr>
        <sz val="9"/>
        <color rgb="FFB05000"/>
        <rFont val="Arial"/>
        <family val="0"/>
        <charset val="1"/>
      </rPr>
      <t xml:space="preserve">R1 </t>
    </r>
    <r>
      <rPr>
        <sz val="9"/>
        <color rgb="FFB05000"/>
        <rFont val="Noto Sans CJK SC"/>
        <family val="2"/>
      </rPr>
      <t xml:space="preserve">실측</t>
    </r>
    <r>
      <rPr>
        <sz val="9"/>
        <color rgb="FFB05000"/>
        <rFont val="Arial"/>
        <family val="0"/>
        <charset val="1"/>
      </rPr>
      <t xml:space="preserve">(</t>
    </r>
    <r>
      <rPr>
        <sz val="9"/>
        <color rgb="FFB05000"/>
        <rFont val="Noto Sans CJK SC"/>
        <family val="2"/>
      </rPr>
      <t xml:space="preserve">사전조합 시 </t>
    </r>
    <r>
      <rPr>
        <sz val="9"/>
        <color rgb="FFB05000"/>
        <rFont val="Arial"/>
        <family val="0"/>
        <charset val="1"/>
      </rPr>
      <t xml:space="preserve">~600)</t>
    </r>
  </si>
  <si>
    <t xml:space="preserve">티어B 아이당 월원가</t>
  </si>
  <si>
    <r>
      <rPr>
        <sz val="9"/>
        <color rgb="FFB05000"/>
        <rFont val="Noto Sans CJK SC"/>
        <family val="2"/>
      </rPr>
      <t xml:space="preserve">가정→</t>
    </r>
    <r>
      <rPr>
        <sz val="9"/>
        <color rgb="FFB05000"/>
        <rFont val="Arial"/>
        <family val="0"/>
        <charset val="1"/>
      </rPr>
      <t xml:space="preserve">R2 </t>
    </r>
    <r>
      <rPr>
        <sz val="9"/>
        <color rgb="FFB05000"/>
        <rFont val="Noto Sans CJK SC"/>
        <family val="2"/>
      </rPr>
      <t xml:space="preserve">실측</t>
    </r>
  </si>
  <si>
    <t xml:space="preserve">티어C 아이당 월원가</t>
  </si>
  <si>
    <r>
      <rPr>
        <sz val="9"/>
        <color rgb="FFB05000"/>
        <rFont val="Noto Sans CJK SC"/>
        <family val="2"/>
      </rPr>
      <t xml:space="preserve">가정→</t>
    </r>
    <r>
      <rPr>
        <sz val="9"/>
        <color rgb="FFB05000"/>
        <rFont val="Arial"/>
        <family val="0"/>
        <charset val="1"/>
      </rPr>
      <t xml:space="preserve">R3 </t>
    </r>
    <r>
      <rPr>
        <sz val="9"/>
        <color rgb="FFB05000"/>
        <rFont val="Noto Sans CJK SC"/>
        <family val="2"/>
      </rPr>
      <t xml:space="preserve">실측</t>
    </r>
  </si>
  <si>
    <t xml:space="preserve">적용 개인화 원가/가구/월</t>
  </si>
  <si>
    <r>
      <rPr>
        <i val="true"/>
        <sz val="9"/>
        <color rgb="FF777777"/>
        <rFont val="Noto Sans CJK SC"/>
        <family val="2"/>
      </rPr>
      <t xml:space="preserve">검증 규칙</t>
    </r>
    <r>
      <rPr>
        <i val="true"/>
        <sz val="9"/>
        <color rgb="FF777777"/>
        <rFont val="Arial"/>
        <family val="0"/>
        <charset val="1"/>
      </rPr>
      <t xml:space="preserve">: </t>
    </r>
    <r>
      <rPr>
        <i val="true"/>
        <sz val="9"/>
        <color rgb="FF777777"/>
        <rFont val="Noto Sans CJK SC"/>
        <family val="2"/>
      </rPr>
      <t xml:space="preserve">실측 확보 즉시 해당 파란 셀을 교체하고 주간 그로스 루프에서 시뮬 재실행</t>
    </r>
    <r>
      <rPr>
        <i val="true"/>
        <sz val="9"/>
        <color rgb="FF777777"/>
        <rFont val="Arial"/>
        <family val="0"/>
        <charset val="1"/>
      </rPr>
      <t xml:space="preserve">(</t>
    </r>
    <r>
      <rPr>
        <i val="true"/>
        <sz val="9"/>
        <color rgb="FF777777"/>
        <rFont val="Noto Sans CJK SC"/>
        <family val="2"/>
      </rPr>
      <t xml:space="preserve">플레이테스트 리포트 </t>
    </r>
    <r>
      <rPr>
        <i val="true"/>
        <sz val="9"/>
        <color rgb="FF777777"/>
        <rFont val="Arial"/>
        <family val="0"/>
        <charset val="1"/>
      </rPr>
      <t xml:space="preserve">§6 </t>
    </r>
    <r>
      <rPr>
        <i val="true"/>
        <sz val="9"/>
        <color rgb="FF777777"/>
        <rFont val="Noto Sans CJK SC"/>
        <family val="2"/>
      </rPr>
      <t xml:space="preserve">파라미터 인수인계와 동일 체계</t>
    </r>
    <r>
      <rPr>
        <i val="true"/>
        <sz val="9"/>
        <color rgb="FF777777"/>
        <rFont val="Arial"/>
        <family val="0"/>
        <charset val="1"/>
      </rPr>
      <t xml:space="preserve">).</t>
    </r>
  </si>
  <si>
    <t xml:space="preserve">가입자·B2C 매출 모델 (M1 = 2026-07)</t>
  </si>
  <si>
    <t xml:space="preserve">월 (M)</t>
  </si>
  <si>
    <t xml:space="preserve">연월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</si>
  <si>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</si>
  <si>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</si>
  <si>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</si>
  <si>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</si>
  <si>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</si>
  <si>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</si>
  <si>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</si>
  <si>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</si>
  <si>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</si>
  <si>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</si>
  <si>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</si>
  <si>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</si>
  <si>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</si>
  <si>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</si>
  <si>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</si>
  <si>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</si>
  <si>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</si>
  <si>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</si>
  <si>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2028-01</t>
  </si>
  <si>
    <t xml:space="preserve">2028-02</t>
  </si>
  <si>
    <t xml:space="preserve">2028-03</t>
  </si>
  <si>
    <t xml:space="preserve">2028-04</t>
  </si>
  <si>
    <t xml:space="preserve">2028-05</t>
  </si>
  <si>
    <t xml:space="preserve">2028-06</t>
  </si>
  <si>
    <t xml:space="preserve">2028-07</t>
  </si>
  <si>
    <t xml:space="preserve">2028-08</t>
  </si>
  <si>
    <t xml:space="preserve">2028-09</t>
  </si>
  <si>
    <t xml:space="preserve">2028-10</t>
  </si>
  <si>
    <t xml:space="preserve">2028-11</t>
  </si>
  <si>
    <t xml:space="preserve">2028-12</t>
  </si>
  <si>
    <t xml:space="preserve">2029-01</t>
  </si>
  <si>
    <t xml:space="preserve">2029-02</t>
  </si>
  <si>
    <t xml:space="preserve">2029-03</t>
  </si>
  <si>
    <t xml:space="preserve">2029-04</t>
  </si>
  <si>
    <t xml:space="preserve">2029-05</t>
  </si>
  <si>
    <t xml:space="preserve">2029-06</t>
  </si>
  <si>
    <t xml:space="preserve">운영 도서관 수 [입력]</t>
  </si>
  <si>
    <t xml:space="preserve">관</t>
  </si>
  <si>
    <t xml:space="preserve">키오스크 세션 수</t>
  </si>
  <si>
    <t xml:space="preserve">건</t>
  </si>
  <si>
    <r>
      <rPr>
        <sz val="10"/>
        <rFont val="Arial"/>
        <family val="0"/>
        <charset val="1"/>
      </rPr>
      <t xml:space="preserve">QR </t>
    </r>
    <r>
      <rPr>
        <sz val="10"/>
        <rFont val="Noto Sans CJK SC"/>
        <family val="2"/>
      </rPr>
      <t xml:space="preserve">스캔</t>
    </r>
  </si>
  <si>
    <t xml:space="preserve">가입 완료</t>
  </si>
  <si>
    <t xml:space="preserve">가구</t>
  </si>
  <si>
    <t xml:space="preserve">무료체험 시작</t>
  </si>
  <si>
    <t xml:space="preserve">오가닉 신규 유료</t>
  </si>
  <si>
    <t xml:space="preserve">마케팅 예산 [입력]</t>
  </si>
  <si>
    <t xml:space="preserve">₩</t>
  </si>
  <si>
    <r>
      <rPr>
        <sz val="10"/>
        <rFont val="Arial"/>
        <family val="0"/>
        <charset val="1"/>
      </rPr>
      <t xml:space="preserve">Paid </t>
    </r>
    <r>
      <rPr>
        <sz val="10"/>
        <rFont val="Noto Sans CJK SC"/>
        <family val="2"/>
      </rPr>
      <t xml:space="preserve">신규 유료</t>
    </r>
  </si>
  <si>
    <t xml:space="preserve">총 신규 유료</t>
  </si>
  <si>
    <t xml:space="preserve">이탈</t>
  </si>
  <si>
    <t xml:space="preserve">기말 유료 가구</t>
  </si>
  <si>
    <t xml:space="preserve">연간플랜 신규</t>
  </si>
  <si>
    <t xml:space="preserve">연간플랜 활성</t>
  </si>
  <si>
    <t xml:space="preserve">월간플랜 활성</t>
  </si>
  <si>
    <t xml:space="preserve">적용 월 ARPU (VAT포함)</t>
  </si>
  <si>
    <t xml:space="preserve">형제 애드온 결제액 (VAT포함)</t>
  </si>
  <si>
    <r>
      <rPr>
        <sz val="10"/>
        <rFont val="Arial"/>
        <family val="0"/>
        <charset val="1"/>
      </rPr>
      <t xml:space="preserve">B2C </t>
    </r>
    <r>
      <rPr>
        <sz val="10"/>
        <rFont val="Noto Sans CJK SC"/>
        <family val="2"/>
      </rPr>
      <t xml:space="preserve">결제액 </t>
    </r>
    <r>
      <rPr>
        <sz val="10"/>
        <rFont val="Arial"/>
        <family val="0"/>
        <charset val="1"/>
      </rPr>
      <t xml:space="preserve">(VAT</t>
    </r>
    <r>
      <rPr>
        <sz val="10"/>
        <rFont val="Noto Sans CJK SC"/>
        <family val="2"/>
      </rPr>
      <t xml:space="preserve">포함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발생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</si>
  <si>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B2C </t>
    </r>
    <r>
      <rPr>
        <b val="true"/>
        <sz val="10"/>
        <rFont val="Noto Sans CJK SC"/>
        <family val="2"/>
      </rPr>
      <t xml:space="preserve">순매출 </t>
    </r>
    <r>
      <rPr>
        <b val="true"/>
        <sz val="10"/>
        <rFont val="Arial"/>
        <family val="0"/>
        <charset val="1"/>
      </rPr>
      <t xml:space="preserve">(VAT</t>
    </r>
    <r>
      <rPr>
        <b val="true"/>
        <sz val="10"/>
        <rFont val="Noto Sans CJK SC"/>
        <family val="2"/>
      </rPr>
      <t xml:space="preserve">제외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</si>
  <si>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참고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월 무료 체험자</t>
    </r>
  </si>
  <si>
    <t xml:space="preserve">월별 손익계산서 (발생주의, VAT 제외 순액)</t>
  </si>
  <si>
    <r>
      <rPr>
        <sz val="10"/>
        <rFont val="Arial"/>
        <family val="0"/>
        <charset val="1"/>
      </rPr>
      <t xml:space="preserve">B2C </t>
    </r>
    <r>
      <rPr>
        <sz val="10"/>
        <rFont val="Noto Sans CJK SC"/>
        <family val="2"/>
      </rPr>
      <t xml:space="preserve">순매출</t>
    </r>
  </si>
  <si>
    <r>
      <rPr>
        <sz val="10"/>
        <rFont val="Arial"/>
        <family val="0"/>
        <charset val="1"/>
      </rPr>
      <t xml:space="preserve">B2G </t>
    </r>
    <r>
      <rPr>
        <sz val="10"/>
        <rFont val="Noto Sans CJK SC"/>
        <family val="2"/>
      </rPr>
      <t xml:space="preserve">유료 관수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입력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</si>
  <si>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B2G </t>
    </r>
    <r>
      <rPr>
        <sz val="10"/>
        <rFont val="Noto Sans CJK SC"/>
        <family val="2"/>
      </rPr>
      <t xml:space="preserve">순매출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월할 인식</t>
    </r>
    <r>
      <rPr>
        <sz val="10"/>
        <rFont val="Arial"/>
        <family val="0"/>
        <charset val="1"/>
      </rPr>
      <t xml:space="preserve">)</t>
    </r>
  </si>
  <si>
    <t xml:space="preserve">총매출</t>
  </si>
  <si>
    <t xml:space="preserve">결제수수료</t>
  </si>
  <si>
    <t xml:space="preserve">인프라·스트리밍</t>
  </si>
  <si>
    <t xml:space="preserve">개인화 COGS (티어)</t>
  </si>
  <si>
    <t xml:space="preserve">콘텐츠 제작비</t>
  </si>
  <si>
    <t xml:space="preserve">매출원가 계</t>
  </si>
  <si>
    <t xml:space="preserve">매출총이익</t>
  </si>
  <si>
    <t xml:space="preserve">매출총이익률</t>
  </si>
  <si>
    <t xml:space="preserve">%</t>
  </si>
  <si>
    <t xml:space="preserve">인건비 (부대비 포함)</t>
  </si>
  <si>
    <t xml:space="preserve">마케팅비</t>
  </si>
  <si>
    <t xml:space="preserve">기타 고정비</t>
  </si>
  <si>
    <t xml:space="preserve">판관비 계</t>
  </si>
  <si>
    <t xml:space="preserve">영업이익</t>
  </si>
  <si>
    <t xml:space="preserve">누적 영업이익</t>
  </si>
  <si>
    <t xml:space="preserve">주: 법인세는 흑자 전환 전 0. 흑자 후 창업중소기업 세액감면(본점 소재지별 50~100%, 5년, 연 5억 한도) 적용 검토 — 문서 §7 참조</t>
  </si>
  <si>
    <r>
      <rPr>
        <i val="true"/>
        <sz val="9"/>
        <color rgb="FF777777"/>
        <rFont val="Noto Sans CJK SC"/>
        <family val="2"/>
      </rPr>
      <t xml:space="preserve">주</t>
    </r>
    <r>
      <rPr>
        <i val="true"/>
        <sz val="9"/>
        <color rgb="FF777777"/>
        <rFont val="Arial"/>
        <family val="0"/>
        <charset val="1"/>
      </rPr>
      <t xml:space="preserve">2: </t>
    </r>
    <r>
      <rPr>
        <i val="true"/>
        <sz val="9"/>
        <color rgb="FF777777"/>
        <rFont val="Noto Sans CJK SC"/>
        <family val="2"/>
      </rPr>
      <t xml:space="preserve">콘텐츠 소진 — </t>
    </r>
    <r>
      <rPr>
        <i val="true"/>
        <sz val="9"/>
        <color rgb="FF777777"/>
        <rFont val="Arial"/>
        <family val="0"/>
        <charset val="1"/>
      </rPr>
      <t xml:space="preserve">5</t>
    </r>
    <r>
      <rPr>
        <i val="true"/>
        <sz val="9"/>
        <color rgb="FF777777"/>
        <rFont val="Noto Sans CJK SC"/>
        <family val="2"/>
      </rPr>
      <t xml:space="preserve">세 재시청 계수 </t>
    </r>
    <r>
      <rPr>
        <i val="true"/>
        <sz val="9"/>
        <color rgb="FF777777"/>
        <rFont val="Arial"/>
        <family val="0"/>
        <charset val="1"/>
      </rPr>
      <t xml:space="preserve">1.6 </t>
    </r>
    <r>
      <rPr>
        <i val="true"/>
        <sz val="9"/>
        <color rgb="FF777777"/>
        <rFont val="Noto Sans CJK SC"/>
        <family val="2"/>
      </rPr>
      <t xml:space="preserve">반영</t>
    </r>
    <r>
      <rPr>
        <i val="true"/>
        <sz val="9"/>
        <color rgb="FF777777"/>
        <rFont val="Arial"/>
        <family val="0"/>
        <charset val="1"/>
      </rPr>
      <t xml:space="preserve">(</t>
    </r>
    <r>
      <rPr>
        <i val="true"/>
        <sz val="9"/>
        <color rgb="FF777777"/>
        <rFont val="Noto Sans CJK SC"/>
        <family val="2"/>
      </rPr>
      <t xml:space="preserve">플레이테스트 </t>
    </r>
    <r>
      <rPr>
        <i val="true"/>
        <sz val="9"/>
        <color rgb="FF777777"/>
        <rFont val="Arial"/>
        <family val="0"/>
        <charset val="1"/>
      </rPr>
      <t xml:space="preserve">F8)</t>
    </r>
    <r>
      <rPr>
        <i val="true"/>
        <sz val="9"/>
        <color rgb="FF777777"/>
        <rFont val="Noto Sans CJK SC"/>
        <family val="2"/>
      </rPr>
      <t xml:space="preserve">으로 소진 경보 임계 완화</t>
    </r>
    <r>
      <rPr>
        <i val="true"/>
        <sz val="9"/>
        <color rgb="FF777777"/>
        <rFont val="Arial"/>
        <family val="0"/>
        <charset val="1"/>
      </rPr>
      <t xml:space="preserve">. </t>
    </r>
    <r>
      <rPr>
        <i val="true"/>
        <sz val="9"/>
        <color rgb="FF777777"/>
        <rFont val="Noto Sans CJK SC"/>
        <family val="2"/>
      </rPr>
      <t xml:space="preserve">회고 재생은 신규 소비로 계상하지 않음</t>
    </r>
    <r>
      <rPr>
        <i val="true"/>
        <sz val="9"/>
        <color rgb="FF777777"/>
        <rFont val="Arial"/>
        <family val="0"/>
        <charset val="1"/>
      </rPr>
      <t xml:space="preserve">.</t>
    </r>
  </si>
  <si>
    <t xml:space="preserve">현금흐름 · 런웨이 (VAT 포함 수금/지급 기준)</t>
  </si>
  <si>
    <r>
      <rPr>
        <sz val="10"/>
        <rFont val="Arial"/>
        <family val="0"/>
        <charset val="1"/>
      </rPr>
      <t xml:space="preserve">B2C </t>
    </r>
    <r>
      <rPr>
        <sz val="10"/>
        <rFont val="Noto Sans CJK SC"/>
        <family val="2"/>
      </rPr>
      <t xml:space="preserve">수금 </t>
    </r>
    <r>
      <rPr>
        <sz val="10"/>
        <rFont val="Arial"/>
        <family val="0"/>
        <charset val="1"/>
      </rPr>
      <t xml:space="preserve">(VAT</t>
    </r>
    <r>
      <rPr>
        <sz val="10"/>
        <rFont val="Noto Sans CJK SC"/>
        <family val="2"/>
      </rPr>
      <t xml:space="preserve">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</si>
  <si>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B2G </t>
    </r>
    <r>
      <rPr>
        <sz val="10"/>
        <rFont val="Noto Sans CJK SC"/>
        <family val="2"/>
      </rPr>
      <t xml:space="preserve">수금 </t>
    </r>
    <r>
      <rPr>
        <sz val="10"/>
        <rFont val="Arial"/>
        <family val="0"/>
        <charset val="1"/>
      </rPr>
      <t xml:space="preserve">(VAT</t>
    </r>
    <r>
      <rPr>
        <sz val="10"/>
        <rFont val="Noto Sans CJK SC"/>
        <family val="2"/>
      </rPr>
      <t xml:space="preserve">포함</t>
    </r>
    <r>
      <rPr>
        <sz val="10"/>
        <rFont val="Arial"/>
        <family val="0"/>
        <charset val="1"/>
      </rPr>
      <t xml:space="preserve">)</t>
    </r>
  </si>
  <si>
    <t xml:space="preserve">정부지원금 [입력]</t>
  </si>
  <si>
    <r>
      <rPr>
        <sz val="10"/>
        <rFont val="Arial"/>
        <family val="0"/>
        <charset val="1"/>
      </rPr>
      <t xml:space="preserve">Seed </t>
    </r>
    <r>
      <rPr>
        <sz val="10"/>
        <rFont val="Noto Sans CJK SC"/>
        <family val="2"/>
      </rPr>
      <t xml:space="preserve">납입</t>
    </r>
  </si>
  <si>
    <t xml:space="preserve">유입 계</t>
  </si>
  <si>
    <t xml:space="preserve">매출원가 지급</t>
  </si>
  <si>
    <t xml:space="preserve">판관비 지급</t>
  </si>
  <si>
    <t xml:space="preserve">부가세 순납부 (분기, 간이추정)</t>
  </si>
  <si>
    <t xml:space="preserve">유출 계</t>
  </si>
  <si>
    <t xml:space="preserve">순현금흐름</t>
  </si>
  <si>
    <t xml:space="preserve">기초 현금</t>
  </si>
  <si>
    <t xml:space="preserve">기말 현금</t>
  </si>
  <si>
    <t xml:space="preserve">런웨이 (개월, 최근3M 소진 기준)</t>
  </si>
  <si>
    <t xml:space="preserve">개월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</si>
  <si>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메모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선수수익 잔액</t>
    </r>
  </si>
  <si>
    <t xml:space="preserve">주: B2G는 발생=수금 가정(실제 계약 시 선수금 협상으로 개선 여지). 부가세는 인건비 매입세액 없음 반영한 간이 추정.</t>
  </si>
  <si>
    <t xml:space="preserve">유닛 이코노믹스 · 민감도 · BEP · 마일스톤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</si>
  <si>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유닛 이코노믹스 정본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정가 기준</t>
    </r>
    <r>
      <rPr>
        <b val="true"/>
        <sz val="10"/>
        <rFont val="Arial"/>
        <family val="0"/>
        <charset val="1"/>
      </rPr>
      <t xml:space="preserve">)</t>
    </r>
  </si>
  <si>
    <t xml:space="preserve">정가 월 구독료 (VAT포함)</t>
  </si>
  <si>
    <t xml:space="preserve">순 ARPU (VAT제외)</t>
  </si>
  <si>
    <t xml:space="preserve">가구당 월 변동원가</t>
  </si>
  <si>
    <t xml:space="preserve">가구당 월 공헌이익</t>
  </si>
  <si>
    <t xml:space="preserve">공헌마진율</t>
  </si>
  <si>
    <t xml:space="preserve">월 이탈률 (시나리오)</t>
  </si>
  <si>
    <t xml:space="preserve">평균 구독기간 (개월)</t>
  </si>
  <si>
    <t xml:space="preserve">매출 LTV (순매출 기준)</t>
  </si>
  <si>
    <t xml:space="preserve">공헌이익 LTV ★의사결정 기준</t>
  </si>
  <si>
    <t xml:space="preserve">Paid CAC</t>
  </si>
  <si>
    <r>
      <rPr>
        <sz val="10"/>
        <rFont val="Arial"/>
        <family val="0"/>
        <charset val="1"/>
      </rPr>
      <t xml:space="preserve">LTV/CAC (</t>
    </r>
    <r>
      <rPr>
        <sz val="10"/>
        <rFont val="Noto Sans CJK SC"/>
        <family val="2"/>
      </rPr>
      <t xml:space="preserve">공헌이익 기준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</si>
  <si>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CAC </t>
    </r>
    <r>
      <rPr>
        <b val="true"/>
        <sz val="10"/>
        <rFont val="Noto Sans CJK SC"/>
        <family val="2"/>
      </rPr>
      <t xml:space="preserve">회수기간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개월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</si>
  <si>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LTV/CAC 3.0x </t>
    </r>
    <r>
      <rPr>
        <sz val="10"/>
        <rFont val="Noto Sans CJK SC"/>
        <family val="2"/>
      </rPr>
      <t xml:space="preserve">허용 최대 </t>
    </r>
    <r>
      <rPr>
        <sz val="10"/>
        <rFont val="Arial"/>
        <family val="0"/>
        <charset val="1"/>
      </rPr>
      <t xml:space="preserve">CAC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</si>
  <si>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공헌이익 </t>
    </r>
    <r>
      <rPr>
        <b val="true"/>
        <sz val="10"/>
        <rFont val="Arial"/>
        <family val="0"/>
        <charset val="1"/>
      </rPr>
      <t xml:space="preserve">LTV </t>
    </r>
    <r>
      <rPr>
        <b val="true"/>
        <sz val="10"/>
        <rFont val="Noto Sans CJK SC"/>
        <family val="2"/>
      </rPr>
      <t xml:space="preserve">민감도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행</t>
    </r>
    <r>
      <rPr>
        <b val="true"/>
        <sz val="10"/>
        <rFont val="Arial"/>
        <family val="0"/>
        <charset val="1"/>
      </rPr>
      <t xml:space="preserve">=</t>
    </r>
    <r>
      <rPr>
        <b val="true"/>
        <sz val="10"/>
        <rFont val="Noto Sans CJK SC"/>
        <family val="2"/>
      </rPr>
      <t xml:space="preserve">월이탈률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열</t>
    </r>
    <r>
      <rPr>
        <b val="true"/>
        <sz val="10"/>
        <rFont val="Arial"/>
        <family val="0"/>
        <charset val="1"/>
      </rPr>
      <t xml:space="preserve">=</t>
    </r>
    <r>
      <rPr>
        <b val="true"/>
        <sz val="10"/>
        <rFont val="Noto Sans CJK SC"/>
        <family val="2"/>
      </rPr>
      <t xml:space="preserve">월가격 </t>
    </r>
    <r>
      <rPr>
        <b val="true"/>
        <sz val="10"/>
        <rFont val="Arial"/>
        <family val="0"/>
        <charset val="1"/>
      </rPr>
      <t xml:space="preserve">VAT</t>
    </r>
    <r>
      <rPr>
        <b val="true"/>
        <sz val="10"/>
        <rFont val="Noto Sans CJK SC"/>
        <family val="2"/>
      </rPr>
      <t xml:space="preserve">포함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</si>
  <si>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손익분기점 </t>
    </r>
    <r>
      <rPr>
        <b val="true"/>
        <sz val="10"/>
        <rFont val="Arial"/>
        <family val="0"/>
        <charset val="1"/>
      </rPr>
      <t xml:space="preserve">(BEP)</t>
    </r>
  </si>
  <si>
    <t xml:space="preserve">월 고정비 — 팀 급여 포함 (M12 기준)</t>
  </si>
  <si>
    <r>
      <rPr>
        <sz val="10"/>
        <rFont val="Arial"/>
        <family val="0"/>
        <charset val="1"/>
      </rPr>
      <t xml:space="preserve">BEP </t>
    </r>
    <r>
      <rPr>
        <sz val="10"/>
        <rFont val="Noto Sans CJK SC"/>
        <family val="2"/>
      </rPr>
      <t xml:space="preserve">유료 가구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팀 포함</t>
    </r>
    <r>
      <rPr>
        <sz val="10"/>
        <rFont val="Arial"/>
        <family val="0"/>
        <charset val="1"/>
      </rPr>
      <t xml:space="preserve">)</t>
    </r>
  </si>
  <si>
    <t xml:space="preserve">월 고정비 — 운영 최소 (인건비 제외)</t>
  </si>
  <si>
    <r>
      <rPr>
        <sz val="10"/>
        <rFont val="Arial"/>
        <family val="0"/>
        <charset val="1"/>
      </rPr>
      <t xml:space="preserve">BEP </t>
    </r>
    <r>
      <rPr>
        <sz val="10"/>
        <rFont val="Noto Sans CJK SC"/>
        <family val="2"/>
      </rPr>
      <t xml:space="preserve">유료 가구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운영 최소</t>
    </r>
    <r>
      <rPr>
        <sz val="10"/>
        <rFont val="Arial"/>
        <family val="0"/>
        <charset val="1"/>
      </rPr>
      <t xml:space="preserve">)</t>
    </r>
  </si>
  <si>
    <t xml:space="preserve">검증: 백서 v1.1 §8.3 = 운영최소 200명 / 팀포함 800명 (인건비 1,200만 가정) — 본 모델과 정합 확인용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</si>
  <si>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마일스톤 체크 </t>
    </r>
    <r>
      <rPr>
        <b val="true"/>
        <sz val="10"/>
        <rFont val="Arial"/>
        <family val="0"/>
        <charset val="1"/>
      </rPr>
      <t xml:space="preserve">(IR </t>
    </r>
    <r>
      <rPr>
        <b val="true"/>
        <sz val="10"/>
        <rFont val="Noto Sans CJK SC"/>
        <family val="2"/>
      </rPr>
      <t xml:space="preserve">로드맵 대비</t>
    </r>
    <r>
      <rPr>
        <b val="true"/>
        <sz val="10"/>
        <rFont val="Arial"/>
        <family val="0"/>
        <charset val="1"/>
      </rPr>
      <t xml:space="preserve">)</t>
    </r>
  </si>
  <si>
    <t xml:space="preserve">마일스톤</t>
  </si>
  <si>
    <t xml:space="preserve">목표</t>
  </si>
  <si>
    <t xml:space="preserve">모델값</t>
  </si>
  <si>
    <t xml:space="preserve">판정</t>
  </si>
  <si>
    <t xml:space="preserve">갭</t>
  </si>
  <si>
    <r>
      <rPr>
        <sz val="10"/>
        <rFont val="Arial"/>
        <family val="0"/>
        <charset val="1"/>
      </rPr>
      <t xml:space="preserve">M+2 </t>
    </r>
    <r>
      <rPr>
        <sz val="10"/>
        <rFont val="Noto Sans CJK SC"/>
        <family val="2"/>
      </rPr>
      <t xml:space="preserve">유료 가구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스프린트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</si>
  <si>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M+9 </t>
    </r>
    <r>
      <rPr>
        <sz val="10"/>
        <rFont val="Noto Sans CJK SC"/>
        <family val="2"/>
      </rPr>
      <t xml:space="preserve">유료 가구 </t>
    </r>
    <r>
      <rPr>
        <sz val="10"/>
        <rFont val="Arial"/>
        <family val="0"/>
        <charset val="1"/>
      </rPr>
      <t xml:space="preserve">(Pre-A </t>
    </r>
    <r>
      <rPr>
        <sz val="10"/>
        <rFont val="Noto Sans CJK SC"/>
        <family val="2"/>
      </rPr>
      <t xml:space="preserve">트리거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</si>
  <si>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M+18 </t>
    </r>
    <r>
      <rPr>
        <sz val="10"/>
        <rFont val="Noto Sans CJK SC"/>
        <family val="2"/>
      </rPr>
      <t xml:space="preserve">유료 가구 </t>
    </r>
    <r>
      <rPr>
        <sz val="10"/>
        <rFont val="Arial"/>
        <family val="0"/>
        <charset val="1"/>
      </rPr>
      <t xml:space="preserve">(Series A)</t>
    </r>
  </si>
  <si>
    <t xml:space="preserve">월 MRR (M+9, 순매출)</t>
  </si>
  <si>
    <r>
      <rPr>
        <sz val="10"/>
        <rFont val="Arial"/>
        <family val="0"/>
        <charset val="1"/>
      </rPr>
      <t xml:space="preserve">ARR </t>
    </r>
    <r>
      <rPr>
        <sz val="10"/>
        <rFont val="Noto Sans CJK SC"/>
        <family val="2"/>
      </rPr>
      <t xml:space="preserve">런레이트 </t>
    </r>
    <r>
      <rPr>
        <sz val="10"/>
        <rFont val="Arial"/>
        <family val="0"/>
        <charset val="1"/>
      </rPr>
      <t xml:space="preserve">(M+12, B2C+B2G)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</si>
  <si>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얼리버드</t>
    </r>
    <r>
      <rPr>
        <b val="true"/>
        <sz val="10"/>
        <rFont val="Arial"/>
        <family val="0"/>
        <charset val="1"/>
      </rPr>
      <t xml:space="preserve">(₩19,000) </t>
    </r>
    <r>
      <rPr>
        <b val="true"/>
        <sz val="10"/>
        <rFont val="Noto Sans CJK SC"/>
        <family val="2"/>
      </rPr>
      <t xml:space="preserve">유닛 </t>
    </r>
    <r>
      <rPr>
        <b val="true"/>
        <sz val="10"/>
        <rFont val="Arial"/>
        <family val="0"/>
        <charset val="1"/>
      </rPr>
      <t xml:space="preserve">&amp; </t>
    </r>
    <r>
      <rPr>
        <b val="true"/>
        <sz val="10"/>
        <rFont val="Noto Sans CJK SC"/>
        <family val="2"/>
      </rPr>
      <t xml:space="preserve">코호트별 </t>
    </r>
    <r>
      <rPr>
        <b val="true"/>
        <sz val="10"/>
        <rFont val="Arial"/>
        <family val="0"/>
        <charset val="1"/>
      </rPr>
      <t xml:space="preserve">paid CAC </t>
    </r>
    <r>
      <rPr>
        <b val="true"/>
        <sz val="10"/>
        <rFont val="Noto Sans CJK SC"/>
        <family val="2"/>
      </rPr>
      <t xml:space="preserve">게이트 </t>
    </r>
    <r>
      <rPr>
        <b val="true"/>
        <sz val="10"/>
        <rFont val="Arial"/>
        <family val="0"/>
        <charset val="1"/>
      </rPr>
      <t xml:space="preserve">[v1.1]</t>
    </r>
  </si>
  <si>
    <t xml:space="preserve">얼리버드 월가 (VAT포함)</t>
  </si>
  <si>
    <t xml:space="preserve">순 ARPU</t>
  </si>
  <si>
    <t xml:space="preserve">월 변동원가</t>
  </si>
  <si>
    <t xml:space="preserve">월 공헌이익</t>
  </si>
  <si>
    <t xml:space="preserve">공헌이익 LTV</t>
  </si>
  <si>
    <t xml:space="preserve">허용 CAC (LTV/CAC 3×)</t>
  </si>
  <si>
    <t xml:space="preserve">코호트</t>
  </si>
  <si>
    <t xml:space="preserve">허용 CAC</t>
  </si>
  <si>
    <t xml:space="preserve">판정 규칙</t>
  </si>
  <si>
    <t xml:space="preserve">도서관 오가닉</t>
  </si>
  <si>
    <t xml:space="preserve">≈0</t>
  </si>
  <si>
    <t xml:space="preserve">현장 이벤트 비용만 별도 추적</t>
  </si>
  <si>
    <r>
      <rPr>
        <sz val="10"/>
        <rFont val="Arial"/>
        <family val="0"/>
        <charset val="1"/>
      </rPr>
      <t xml:space="preserve">paid × </t>
    </r>
    <r>
      <rPr>
        <sz val="10"/>
        <rFont val="Noto Sans CJK SC"/>
        <family val="2"/>
      </rPr>
      <t xml:space="preserve">정가</t>
    </r>
  </si>
  <si>
    <t xml:space="preserve">초과 시 증액 금지</t>
  </si>
  <si>
    <r>
      <rPr>
        <sz val="10"/>
        <rFont val="Arial"/>
        <family val="0"/>
        <charset val="1"/>
      </rPr>
      <t xml:space="preserve">paid × </t>
    </r>
    <r>
      <rPr>
        <sz val="10"/>
        <rFont val="Noto Sans CJK SC"/>
        <family val="2"/>
      </rPr>
      <t xml:space="preserve">얼리버드</t>
    </r>
  </si>
  <si>
    <t xml:space="preserve">스프린트 paid는 학습비(총 300만 상한), 스케일 금지</t>
  </si>
  <si>
    <r>
      <rPr>
        <b val="true"/>
        <sz val="10"/>
        <rFont val="Arial"/>
        <family val="0"/>
        <charset val="1"/>
      </rPr>
      <t xml:space="preserve">F. iOS IAP </t>
    </r>
    <r>
      <rPr>
        <b val="true"/>
        <sz val="10"/>
        <rFont val="Noto Sans CJK SC"/>
        <family val="2"/>
      </rPr>
      <t xml:space="preserve">채널 참고 </t>
    </r>
    <r>
      <rPr>
        <b val="true"/>
        <sz val="10"/>
        <rFont val="Arial"/>
        <family val="0"/>
        <charset val="1"/>
      </rPr>
      <t xml:space="preserve">(Web-first </t>
    </r>
    <r>
      <rPr>
        <b val="true"/>
        <sz val="10"/>
        <rFont val="Noto Sans CJK SC"/>
        <family val="2"/>
      </rPr>
      <t xml:space="preserve">근거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</si>
  <si>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iOS </t>
    </r>
    <r>
      <rPr>
        <sz val="10"/>
        <rFont val="Noto Sans CJK SC"/>
        <family val="2"/>
      </rPr>
      <t xml:space="preserve">공헌이익 </t>
    </r>
    <r>
      <rPr>
        <sz val="10"/>
        <rFont val="Arial"/>
        <family val="0"/>
        <charset val="1"/>
      </rPr>
      <t xml:space="preserve">(IAP 30%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</si>
  <si>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Toss </t>
    </r>
    <r>
      <rPr>
        <sz val="10"/>
        <rFont val="Noto Sans CJK SC"/>
        <family val="2"/>
      </rPr>
      <t xml:space="preserve">대비 마진 델타</t>
    </r>
  </si>
  <si>
    <t xml:space="preserve">주: LTV/CAC 판정은 M1 churn이 아닌 2–4개월차 steady churn 기준. W4 유지율은 선행지표.</t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</si>
  <si>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주인공 티어별 이코노믹스 </t>
    </r>
    <r>
      <rPr>
        <b val="true"/>
        <sz val="10"/>
        <rFont val="Arial"/>
        <family val="0"/>
        <charset val="1"/>
      </rPr>
      <t xml:space="preserve">[v1.2] — </t>
    </r>
    <r>
      <rPr>
        <b val="true"/>
        <sz val="10"/>
        <rFont val="Noto Sans CJK SC"/>
        <family val="2"/>
      </rPr>
      <t xml:space="preserve">기준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SC"/>
        <family val="2"/>
      </rPr>
      <t xml:space="preserve">정가</t>
    </r>
    <r>
      <rPr>
        <b val="true"/>
        <sz val="10"/>
        <rFont val="Arial"/>
        <family val="0"/>
        <charset val="1"/>
      </rPr>
      <t xml:space="preserve">·churn </t>
    </r>
    <r>
      <rPr>
        <b val="true"/>
        <sz val="10"/>
        <rFont val="Noto Sans CJK SC"/>
        <family val="2"/>
      </rPr>
      <t xml:space="preserve">시나리오 무관 고정식</t>
    </r>
  </si>
  <si>
    <t xml:space="preserve">기준 공헌(티어0)</t>
  </si>
  <si>
    <t xml:space="preserve">기준 LTV(churn 25%)</t>
  </si>
  <si>
    <t xml:space="preserve">티어</t>
  </si>
  <si>
    <t xml:space="preserve">공헌이익</t>
  </si>
  <si>
    <r>
      <rPr>
        <b val="true"/>
        <sz val="10"/>
        <rFont val="Arial"/>
        <family val="0"/>
        <charset val="1"/>
      </rPr>
      <t xml:space="preserve">CAC3</t>
    </r>
    <r>
      <rPr>
        <b val="true"/>
        <sz val="10"/>
        <rFont val="Noto Sans CJK SC"/>
        <family val="2"/>
      </rPr>
      <t xml:space="preserve">만 성립 </t>
    </r>
    <r>
      <rPr>
        <b val="true"/>
        <sz val="10"/>
        <rFont val="Arial"/>
        <family val="0"/>
        <charset val="1"/>
      </rPr>
      <t xml:space="preserve">churn≤</t>
    </r>
  </si>
  <si>
    <r>
      <rPr>
        <b val="true"/>
        <sz val="10"/>
        <rFont val="Arial"/>
        <family val="0"/>
        <charset val="1"/>
      </rPr>
      <t xml:space="preserve">LTV </t>
    </r>
    <r>
      <rPr>
        <b val="true"/>
        <sz val="10"/>
        <rFont val="Noto Sans CJK SC"/>
        <family val="2"/>
      </rPr>
      <t xml:space="preserve">본전 </t>
    </r>
    <r>
      <rPr>
        <b val="true"/>
        <sz val="10"/>
        <rFont val="Arial"/>
        <family val="0"/>
        <charset val="1"/>
      </rPr>
      <t xml:space="preserve">churn≤</t>
    </r>
  </si>
  <si>
    <t xml:space="preserve">티어 A</t>
  </si>
  <si>
    <t xml:space="preserve">티어 B</t>
  </si>
  <si>
    <t xml:space="preserve">티어 C</t>
  </si>
  <si>
    <t xml:space="preserve">주: 티어D(전 에피 무빙컷)는 본전 churn ≤10.5% 요구로 금지(재조준 보고 §5).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</si>
</sst>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0.0%"/>
    <numFmt numFmtId="168" formatCode="0"/>
    <numFmt numFmtId="169" formatCode="#,##0.0;\(#,##0.0\);\-"/>
    <numFmt numFmtId="170" formatCode="0.0\x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i val="true"/>
      <sz val="9"/>
      <color rgb="FF777777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color rgb="FF0000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  <charset val="1"/>
    </font>
    <font>
      <sz val="9"/>
      <color rgb="FF777777"/>
      <name val="Noto Sans CJK SC"/>
      <family val="2"/>
      <charset val="1"/>
    </font>
    <font>
      <sz val="9"/>
      <color rgb="FFB05000"/>
      <name val="Noto Sans CJK SC"/>
      <family val="2"/>
    </font>
    <font>
      <sz val="9"/>
      <color rgb="FFB05000"/>
      <name val="Arial"/>
      <family val="0"/>
      <charset val="1"/>
    </font>
    <font>
      <sz val="9"/>
      <color rgb="FF777777"/>
      <name val="Arial"/>
      <family val="0"/>
      <charset val="1"/>
    </font>
    <font>
      <sz val="9"/>
      <color rgb="FF777777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i val="true"/>
      <sz val="9"/>
      <color rgb="FF777777"/>
      <name val="Arial"/>
      <family val="0"/>
      <charset val="1"/>
    </font>
    <font>
      <i val="true"/>
      <sz val="9"/>
      <color rgb="FF777777"/>
      <name val="Noto Sans CJK SC"/>
      <family val="2"/>
    </font>
    <font>
      <b val="true"/>
      <sz val="13"/>
      <name val="Noto Sans CJK SC"/>
      <family val="2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F0E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050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3"/>
    <col collapsed="false" customWidth="true" hidden="false" outlineLevel="0" max="6" min="6" style="1" width="60"/>
    <col collapsed="false" customWidth="true" hidden="false" outlineLevel="0" max="7" min="7" style="0" width="2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v>2</v>
      </c>
      <c r="C4" s="6" t="s">
        <v>3</v>
      </c>
      <c r="D4" s="6" t="s">
        <v>4</v>
      </c>
      <c r="E4" s="6" t="s">
        <v>5</v>
      </c>
      <c r="G4" s="7" t="s">
        <v>6</v>
      </c>
    </row>
    <row r="6" customFormat="false" ht="15" hidden="false" customHeight="true" outlineLevel="0" collapsed="false">
      <c r="A6" s="8" t="s">
        <v>7</v>
      </c>
    </row>
    <row r="7" customFormat="false" ht="15" hidden="false" customHeight="true" outlineLevel="0" collapsed="false">
      <c r="A7" s="9" t="s">
        <v>8</v>
      </c>
      <c r="B7" s="10" t="n">
        <v>19000</v>
      </c>
      <c r="F7" s="11" t="s">
        <v>9</v>
      </c>
      <c r="G7" s="12" t="s">
        <v>10</v>
      </c>
    </row>
    <row r="8" customFormat="false" ht="15" hidden="false" customHeight="true" outlineLevel="0" collapsed="false">
      <c r="A8" s="9" t="s">
        <v>11</v>
      </c>
      <c r="B8" s="10" t="n">
        <v>25000</v>
      </c>
      <c r="F8" s="11" t="s">
        <v>12</v>
      </c>
      <c r="G8" s="12" t="s">
        <v>13</v>
      </c>
    </row>
    <row r="9" customFormat="false" ht="15" hidden="false" customHeight="true" outlineLevel="0" collapsed="false">
      <c r="A9" s="9" t="s">
        <v>14</v>
      </c>
      <c r="B9" s="10" t="n">
        <v>6</v>
      </c>
      <c r="F9" s="13" t="s">
        <v>15</v>
      </c>
      <c r="G9" s="12" t="s">
        <v>16</v>
      </c>
    </row>
    <row r="10" customFormat="false" ht="15" hidden="false" customHeight="true" outlineLevel="0" collapsed="false">
      <c r="A10" s="9" t="s">
        <v>17</v>
      </c>
      <c r="B10" s="14" t="n">
        <v>0.08</v>
      </c>
      <c r="F10" s="11" t="s">
        <v>18</v>
      </c>
      <c r="G10" s="12" t="s">
        <v>19</v>
      </c>
    </row>
    <row r="11" customFormat="false" ht="15" hidden="false" customHeight="true" outlineLevel="0" collapsed="false">
      <c r="A11" s="9" t="s">
        <v>20</v>
      </c>
      <c r="B11" s="14" t="n">
        <v>0.1</v>
      </c>
      <c r="F11" s="11" t="s">
        <v>21</v>
      </c>
      <c r="G11" s="12" t="s">
        <v>22</v>
      </c>
    </row>
    <row r="12" customFormat="false" ht="15" hidden="false" customHeight="true" outlineLevel="0" collapsed="false">
      <c r="A12" s="9" t="s">
        <v>23</v>
      </c>
      <c r="B12" s="10" t="n">
        <v>7000</v>
      </c>
    </row>
    <row r="13" customFormat="false" ht="15" hidden="false" customHeight="true" outlineLevel="0" collapsed="false">
      <c r="A13" s="9" t="s">
        <v>24</v>
      </c>
      <c r="B13" s="14" t="n">
        <v>0</v>
      </c>
      <c r="F13" s="11" t="s">
        <v>25</v>
      </c>
      <c r="G13" s="12" t="s">
        <v>26</v>
      </c>
    </row>
    <row r="14" customFormat="false" ht="15" hidden="false" customHeight="true" outlineLevel="0" collapsed="false">
      <c r="A14" s="9" t="s">
        <v>27</v>
      </c>
      <c r="B14" s="10" t="n">
        <v>190000</v>
      </c>
      <c r="F14" s="11" t="s">
        <v>28</v>
      </c>
    </row>
    <row r="16" customFormat="false" ht="15" hidden="false" customHeight="true" outlineLevel="0" collapsed="false">
      <c r="A16" s="15" t="s">
        <v>29</v>
      </c>
    </row>
    <row r="17" customFormat="false" ht="15" hidden="false" customHeight="true" outlineLevel="0" collapsed="false">
      <c r="A17" s="9" t="s">
        <v>30</v>
      </c>
      <c r="B17" s="10" t="n">
        <v>1200</v>
      </c>
      <c r="F17" s="11" t="s">
        <v>31</v>
      </c>
      <c r="G17" s="12" t="s">
        <v>32</v>
      </c>
    </row>
    <row r="18" customFormat="false" ht="15" hidden="false" customHeight="true" outlineLevel="0" collapsed="false">
      <c r="A18" s="9" t="s">
        <v>33</v>
      </c>
      <c r="B18" s="16" t="n">
        <f aca="false">CHOOSE($B$4,C18,D18,E18)</f>
        <v>0.06</v>
      </c>
      <c r="C18" s="14" t="n">
        <v>0.04</v>
      </c>
      <c r="D18" s="14" t="n">
        <v>0.06</v>
      </c>
      <c r="E18" s="14" t="n">
        <v>0.08</v>
      </c>
      <c r="F18" s="11" t="s">
        <v>34</v>
      </c>
      <c r="G18" s="12" t="s">
        <v>35</v>
      </c>
    </row>
    <row r="19" customFormat="false" ht="15" hidden="false" customHeight="true" outlineLevel="0" collapsed="false">
      <c r="A19" s="17" t="s">
        <v>36</v>
      </c>
      <c r="B19" s="14" t="n">
        <v>0.45</v>
      </c>
      <c r="F19" s="13" t="s">
        <v>37</v>
      </c>
      <c r="G19" s="12" t="s">
        <v>38</v>
      </c>
    </row>
    <row r="20" customFormat="false" ht="15" hidden="false" customHeight="true" outlineLevel="0" collapsed="false">
      <c r="A20" s="9" t="s">
        <v>39</v>
      </c>
      <c r="B20" s="14" t="n">
        <v>0.6</v>
      </c>
      <c r="G20" s="12" t="s">
        <v>38</v>
      </c>
    </row>
    <row r="21" customFormat="false" ht="15" hidden="false" customHeight="true" outlineLevel="0" collapsed="false">
      <c r="A21" s="9" t="s">
        <v>40</v>
      </c>
      <c r="B21" s="16" t="n">
        <f aca="false">CHOOSE($B$4,C21,D21,E21)</f>
        <v>0.45</v>
      </c>
      <c r="C21" s="14" t="n">
        <v>0.35</v>
      </c>
      <c r="D21" s="14" t="n">
        <v>0.45</v>
      </c>
      <c r="E21" s="14" t="n">
        <v>0.55</v>
      </c>
      <c r="F21" s="11" t="s">
        <v>41</v>
      </c>
      <c r="G21" s="12" t="s">
        <v>42</v>
      </c>
    </row>
    <row r="22" customFormat="false" ht="15" hidden="false" customHeight="true" outlineLevel="0" collapsed="false">
      <c r="A22" s="9" t="s">
        <v>43</v>
      </c>
      <c r="B22" s="16" t="n">
        <f aca="false">CHOOSE($B$4,C22,D22,E22)</f>
        <v>0.25</v>
      </c>
      <c r="C22" s="14" t="n">
        <v>0.35</v>
      </c>
      <c r="D22" s="14" t="n">
        <v>0.25</v>
      </c>
      <c r="E22" s="14" t="n">
        <v>0.15</v>
      </c>
      <c r="F22" s="11" t="s">
        <v>44</v>
      </c>
      <c r="G22" s="18" t="s">
        <v>45</v>
      </c>
    </row>
    <row r="24" customFormat="false" ht="15" hidden="false" customHeight="true" outlineLevel="0" collapsed="false">
      <c r="A24" s="8" t="s">
        <v>46</v>
      </c>
    </row>
    <row r="25" customFormat="false" ht="15" hidden="false" customHeight="true" outlineLevel="0" collapsed="false">
      <c r="A25" s="9" t="s">
        <v>47</v>
      </c>
      <c r="B25" s="10" t="n">
        <v>30000</v>
      </c>
      <c r="F25" s="11" t="s">
        <v>48</v>
      </c>
      <c r="G25" s="12" t="s">
        <v>49</v>
      </c>
    </row>
    <row r="27" customFormat="false" ht="15" hidden="false" customHeight="true" outlineLevel="0" collapsed="false">
      <c r="A27" s="15" t="s">
        <v>50</v>
      </c>
    </row>
    <row r="28" customFormat="false" ht="15" hidden="false" customHeight="true" outlineLevel="0" collapsed="false">
      <c r="A28" s="9" t="s">
        <v>51</v>
      </c>
      <c r="B28" s="14" t="n">
        <v>0.034</v>
      </c>
      <c r="F28" s="13" t="s">
        <v>52</v>
      </c>
      <c r="G28" s="12" t="s">
        <v>53</v>
      </c>
    </row>
    <row r="29" customFormat="false" ht="15" hidden="false" customHeight="true" outlineLevel="0" collapsed="false">
      <c r="A29" s="9" t="s">
        <v>54</v>
      </c>
      <c r="B29" s="10" t="n">
        <v>1200</v>
      </c>
      <c r="F29" s="13" t="s">
        <v>55</v>
      </c>
      <c r="G29" s="12" t="s">
        <v>56</v>
      </c>
    </row>
    <row r="30" customFormat="false" ht="15" hidden="false" customHeight="true" outlineLevel="0" collapsed="false">
      <c r="A30" s="9" t="s">
        <v>57</v>
      </c>
      <c r="B30" s="10" t="n">
        <v>100</v>
      </c>
      <c r="F30" s="13" t="s">
        <v>58</v>
      </c>
      <c r="G30" s="12" t="s">
        <v>59</v>
      </c>
    </row>
    <row r="32" customFormat="false" ht="15" hidden="false" customHeight="true" outlineLevel="0" collapsed="false">
      <c r="A32" s="15" t="s">
        <v>60</v>
      </c>
    </row>
    <row r="33" customFormat="false" ht="15" hidden="false" customHeight="true" outlineLevel="0" collapsed="false">
      <c r="A33" s="9" t="s">
        <v>61</v>
      </c>
      <c r="B33" s="10" t="n">
        <v>200000</v>
      </c>
      <c r="F33" s="13" t="s">
        <v>62</v>
      </c>
      <c r="G33" s="12" t="s">
        <v>63</v>
      </c>
    </row>
    <row r="34" customFormat="false" ht="15" hidden="false" customHeight="true" outlineLevel="0" collapsed="false">
      <c r="A34" s="9" t="s">
        <v>64</v>
      </c>
      <c r="B34" s="10" t="n">
        <v>8</v>
      </c>
      <c r="F34" s="11" t="s">
        <v>65</v>
      </c>
      <c r="G34" s="12" t="s">
        <v>66</v>
      </c>
    </row>
    <row r="36" customFormat="false" ht="15" hidden="false" customHeight="true" outlineLevel="0" collapsed="false">
      <c r="A36" s="8" t="s">
        <v>67</v>
      </c>
    </row>
    <row r="37" customFormat="false" ht="15" hidden="false" customHeight="true" outlineLevel="0" collapsed="false">
      <c r="A37" s="9" t="s">
        <v>68</v>
      </c>
      <c r="B37" s="10" t="n">
        <v>18000000</v>
      </c>
      <c r="F37" s="13" t="s">
        <v>69</v>
      </c>
      <c r="G37" s="12" t="s">
        <v>70</v>
      </c>
    </row>
    <row r="39" customFormat="false" ht="15" hidden="false" customHeight="true" outlineLevel="0" collapsed="false">
      <c r="A39" s="15" t="s">
        <v>71</v>
      </c>
    </row>
    <row r="40" customFormat="false" ht="15" hidden="false" customHeight="true" outlineLevel="0" collapsed="false">
      <c r="A40" s="9" t="s">
        <v>72</v>
      </c>
      <c r="B40" s="14" t="n">
        <v>0.1</v>
      </c>
      <c r="G40" s="12" t="s">
        <v>73</v>
      </c>
    </row>
    <row r="41" customFormat="false" ht="15" hidden="false" customHeight="true" outlineLevel="0" collapsed="false">
      <c r="A41" s="9" t="s">
        <v>74</v>
      </c>
      <c r="B41" s="14" t="n">
        <v>0.19</v>
      </c>
      <c r="F41" s="11" t="s">
        <v>75</v>
      </c>
      <c r="G41" s="12" t="s">
        <v>76</v>
      </c>
    </row>
    <row r="43" customFormat="false" ht="15" hidden="false" customHeight="true" outlineLevel="0" collapsed="false">
      <c r="A43" s="15" t="s">
        <v>77</v>
      </c>
    </row>
    <row r="44" customFormat="false" ht="15" hidden="false" customHeight="true" outlineLevel="0" collapsed="false">
      <c r="A44" s="17" t="s">
        <v>78</v>
      </c>
      <c r="B44" s="10" t="n">
        <v>300000000</v>
      </c>
      <c r="F44" s="13" t="s">
        <v>79</v>
      </c>
      <c r="G44" s="12" t="s">
        <v>80</v>
      </c>
    </row>
    <row r="47" customFormat="false" ht="15" hidden="false" customHeight="true" outlineLevel="0" collapsed="false">
      <c r="A47" s="15" t="s">
        <v>81</v>
      </c>
    </row>
    <row r="48" customFormat="false" ht="15" hidden="false" customHeight="true" outlineLevel="0" collapsed="false">
      <c r="A48" s="4" t="s">
        <v>82</v>
      </c>
      <c r="B48" s="4" t="s">
        <v>83</v>
      </c>
      <c r="C48" s="4" t="s">
        <v>84</v>
      </c>
    </row>
    <row r="49" customFormat="false" ht="15" hidden="false" customHeight="true" outlineLevel="0" collapsed="false">
      <c r="A49" s="17" t="s">
        <v>85</v>
      </c>
      <c r="B49" s="10" t="n">
        <v>3000000</v>
      </c>
      <c r="C49" s="10" t="n">
        <v>1</v>
      </c>
    </row>
    <row r="50" customFormat="false" ht="15" hidden="false" customHeight="true" outlineLevel="0" collapsed="false">
      <c r="A50" s="9" t="s">
        <v>86</v>
      </c>
      <c r="B50" s="10" t="n">
        <v>4500000</v>
      </c>
      <c r="C50" s="10" t="n">
        <v>1</v>
      </c>
    </row>
    <row r="51" customFormat="false" ht="15" hidden="false" customHeight="true" outlineLevel="0" collapsed="false">
      <c r="A51" s="9" t="s">
        <v>87</v>
      </c>
      <c r="B51" s="10" t="n">
        <v>2000000</v>
      </c>
      <c r="C51" s="10" t="n">
        <v>1</v>
      </c>
    </row>
    <row r="52" customFormat="false" ht="15" hidden="false" customHeight="true" outlineLevel="0" collapsed="false">
      <c r="A52" s="9" t="s">
        <v>88</v>
      </c>
      <c r="B52" s="10" t="n">
        <v>3000000</v>
      </c>
      <c r="C52" s="10" t="n">
        <v>7</v>
      </c>
    </row>
    <row r="53" customFormat="false" ht="15" hidden="false" customHeight="true" outlineLevel="0" collapsed="false">
      <c r="A53" s="17" t="s">
        <v>89</v>
      </c>
      <c r="B53" s="10" t="n">
        <v>2000000</v>
      </c>
      <c r="C53" s="10" t="n">
        <v>10</v>
      </c>
    </row>
    <row r="54" customFormat="false" ht="15" hidden="false" customHeight="true" outlineLevel="0" collapsed="false">
      <c r="A54" s="9" t="s">
        <v>90</v>
      </c>
      <c r="B54" s="10" t="n">
        <v>4500000</v>
      </c>
      <c r="C54" s="10" t="n">
        <v>13</v>
      </c>
    </row>
    <row r="55" customFormat="false" ht="15" hidden="false" customHeight="true" outlineLevel="0" collapsed="false">
      <c r="A55" s="9" t="s">
        <v>91</v>
      </c>
      <c r="B55" s="10" t="n">
        <v>3500000</v>
      </c>
      <c r="C55" s="10" t="n">
        <v>13</v>
      </c>
    </row>
    <row r="57" customFormat="false" ht="15" hidden="false" customHeight="true" outlineLevel="0" collapsed="false">
      <c r="A57" s="9" t="s">
        <v>92</v>
      </c>
      <c r="B57" s="10" t="n">
        <v>2500000</v>
      </c>
    </row>
    <row r="59" customFormat="false" ht="15" hidden="false" customHeight="true" outlineLevel="0" collapsed="false">
      <c r="A59" s="17" t="s">
        <v>93</v>
      </c>
      <c r="B59" s="19" t="n">
        <v>0</v>
      </c>
      <c r="F59" s="20" t="s">
        <v>94</v>
      </c>
    </row>
    <row r="60" customFormat="false" ht="15" hidden="false" customHeight="true" outlineLevel="0" collapsed="false">
      <c r="A60" s="17" t="s">
        <v>95</v>
      </c>
      <c r="B60" s="19" t="n">
        <v>0.3</v>
      </c>
      <c r="F60" s="3" t="s">
        <v>96</v>
      </c>
    </row>
    <row r="62" customFormat="false" ht="15" hidden="false" customHeight="true" outlineLevel="0" collapsed="false">
      <c r="A62" s="15" t="s">
        <v>97</v>
      </c>
    </row>
    <row r="63" customFormat="false" ht="15" hidden="false" customHeight="true" outlineLevel="0" collapsed="false">
      <c r="A63" s="9" t="s">
        <v>98</v>
      </c>
      <c r="B63" s="21" t="n">
        <v>1</v>
      </c>
      <c r="F63" s="20" t="s">
        <v>99</v>
      </c>
      <c r="G63" s="12" t="s">
        <v>100</v>
      </c>
    </row>
    <row r="64" customFormat="false" ht="15" hidden="false" customHeight="true" outlineLevel="0" collapsed="false">
      <c r="A64" s="9" t="s">
        <v>101</v>
      </c>
      <c r="B64" s="10" t="n">
        <v>1200</v>
      </c>
      <c r="F64" s="3" t="s">
        <v>102</v>
      </c>
      <c r="G64" s="12" t="s">
        <v>103</v>
      </c>
    </row>
    <row r="65" customFormat="false" ht="15" hidden="false" customHeight="true" outlineLevel="0" collapsed="false">
      <c r="A65" s="9" t="s">
        <v>104</v>
      </c>
      <c r="B65" s="10" t="n">
        <v>4800</v>
      </c>
      <c r="G65" s="12" t="s">
        <v>105</v>
      </c>
    </row>
    <row r="66" customFormat="false" ht="15" hidden="false" customHeight="true" outlineLevel="0" collapsed="false">
      <c r="A66" s="9" t="s">
        <v>106</v>
      </c>
      <c r="B66" s="10" t="n">
        <v>6800</v>
      </c>
      <c r="G66" s="12" t="s">
        <v>107</v>
      </c>
    </row>
    <row r="67" customFormat="false" ht="15" hidden="false" customHeight="true" outlineLevel="0" collapsed="false">
      <c r="A67" s="9" t="s">
        <v>108</v>
      </c>
      <c r="B67" s="22" t="n">
        <f aca="false">IF($B$63=0,0,CHOOSE($B$63,$B$64,$B$65,$B$66))</f>
        <v>1200</v>
      </c>
    </row>
    <row r="69" customFormat="false" ht="15" hidden="false" customHeight="false" outlineLevel="0" collapsed="false">
      <c r="A69" s="23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38" min="3" style="1" width="11"/>
  </cols>
  <sheetData>
    <row r="1" customFormat="false" ht="19.5" hidden="false" customHeight="true" outlineLevel="0" collapsed="false">
      <c r="A1" s="24" t="s">
        <v>110</v>
      </c>
    </row>
    <row r="3" customFormat="false" ht="15" hidden="false" customHeight="true" outlineLevel="0" collapsed="false">
      <c r="A3" s="4" t="s">
        <v>111</v>
      </c>
      <c r="C3" s="25" t="n">
        <v>1</v>
      </c>
      <c r="D3" s="25" t="n">
        <v>2</v>
      </c>
      <c r="E3" s="25" t="n">
        <v>3</v>
      </c>
      <c r="F3" s="25" t="n">
        <v>4</v>
      </c>
      <c r="G3" s="25" t="n">
        <v>5</v>
      </c>
      <c r="H3" s="25" t="n">
        <v>6</v>
      </c>
      <c r="I3" s="25" t="n">
        <v>7</v>
      </c>
      <c r="J3" s="25" t="n">
        <v>8</v>
      </c>
      <c r="K3" s="25" t="n">
        <v>9</v>
      </c>
      <c r="L3" s="25" t="n">
        <v>10</v>
      </c>
      <c r="M3" s="25" t="n">
        <v>11</v>
      </c>
      <c r="N3" s="25" t="n">
        <v>12</v>
      </c>
      <c r="O3" s="25" t="n">
        <v>13</v>
      </c>
      <c r="P3" s="25" t="n">
        <v>14</v>
      </c>
      <c r="Q3" s="25" t="n">
        <v>15</v>
      </c>
      <c r="R3" s="25" t="n">
        <v>16</v>
      </c>
      <c r="S3" s="25" t="n">
        <v>17</v>
      </c>
      <c r="T3" s="25" t="n">
        <v>18</v>
      </c>
      <c r="U3" s="25" t="n">
        <v>19</v>
      </c>
      <c r="V3" s="25" t="n">
        <v>20</v>
      </c>
      <c r="W3" s="25" t="n">
        <v>21</v>
      </c>
      <c r="X3" s="25" t="n">
        <v>22</v>
      </c>
      <c r="Y3" s="25" t="n">
        <v>23</v>
      </c>
      <c r="Z3" s="25" t="n">
        <v>24</v>
      </c>
      <c r="AA3" s="25" t="n">
        <v>25</v>
      </c>
      <c r="AB3" s="25" t="n">
        <v>26</v>
      </c>
      <c r="AC3" s="25" t="n">
        <v>27</v>
      </c>
      <c r="AD3" s="25" t="n">
        <v>28</v>
      </c>
      <c r="AE3" s="25" t="n">
        <v>29</v>
      </c>
      <c r="AF3" s="25" t="n">
        <v>30</v>
      </c>
      <c r="AG3" s="25" t="n">
        <v>31</v>
      </c>
      <c r="AH3" s="25" t="n">
        <v>32</v>
      </c>
      <c r="AI3" s="25" t="n">
        <v>33</v>
      </c>
      <c r="AJ3" s="25" t="n">
        <v>34</v>
      </c>
      <c r="AK3" s="25" t="n">
        <v>35</v>
      </c>
      <c r="AL3" s="25" t="n">
        <v>36</v>
      </c>
    </row>
    <row r="4" customFormat="false" ht="15" hidden="false" customHeight="true" outlineLevel="0" collapsed="false">
      <c r="A4" s="4" t="s">
        <v>112</v>
      </c>
      <c r="C4" s="26" t="s">
        <v>113</v>
      </c>
      <c r="D4" s="26" t="s">
        <v>114</v>
      </c>
      <c r="E4" s="26" t="s">
        <v>115</v>
      </c>
      <c r="F4" s="26" t="s">
        <v>116</v>
      </c>
      <c r="G4" s="26" t="s">
        <v>117</v>
      </c>
      <c r="H4" s="26" t="s">
        <v>118</v>
      </c>
      <c r="I4" s="26" t="s">
        <v>119</v>
      </c>
      <c r="J4" s="26" t="s">
        <v>120</v>
      </c>
      <c r="K4" s="26" t="s">
        <v>121</v>
      </c>
      <c r="L4" s="26" t="s">
        <v>122</v>
      </c>
      <c r="M4" s="26" t="s">
        <v>123</v>
      </c>
      <c r="N4" s="26" t="s">
        <v>124</v>
      </c>
      <c r="O4" s="26" t="s">
        <v>125</v>
      </c>
      <c r="P4" s="26" t="s">
        <v>126</v>
      </c>
      <c r="Q4" s="26" t="s">
        <v>127</v>
      </c>
      <c r="R4" s="26" t="s">
        <v>128</v>
      </c>
      <c r="S4" s="26" t="s">
        <v>129</v>
      </c>
      <c r="T4" s="26" t="s">
        <v>130</v>
      </c>
      <c r="U4" s="26" t="s">
        <v>131</v>
      </c>
      <c r="V4" s="26" t="s">
        <v>132</v>
      </c>
      <c r="W4" s="26" t="s">
        <v>133</v>
      </c>
      <c r="X4" s="26" t="s">
        <v>134</v>
      </c>
      <c r="Y4" s="26" t="s">
        <v>135</v>
      </c>
      <c r="Z4" s="26" t="s">
        <v>136</v>
      </c>
      <c r="AA4" s="26" t="s">
        <v>137</v>
      </c>
      <c r="AB4" s="26" t="s">
        <v>138</v>
      </c>
      <c r="AC4" s="26" t="s">
        <v>139</v>
      </c>
      <c r="AD4" s="26" t="s">
        <v>140</v>
      </c>
      <c r="AE4" s="26" t="s">
        <v>141</v>
      </c>
      <c r="AF4" s="26" t="s">
        <v>142</v>
      </c>
      <c r="AG4" s="26" t="s">
        <v>143</v>
      </c>
      <c r="AH4" s="26" t="s">
        <v>144</v>
      </c>
      <c r="AI4" s="26" t="s">
        <v>145</v>
      </c>
      <c r="AJ4" s="26" t="s">
        <v>146</v>
      </c>
      <c r="AK4" s="26" t="s">
        <v>147</v>
      </c>
      <c r="AL4" s="26" t="s">
        <v>148</v>
      </c>
    </row>
    <row r="5" customFormat="false" ht="15" hidden="false" customHeight="true" outlineLevel="0" collapsed="false">
      <c r="A5" s="9" t="s">
        <v>149</v>
      </c>
      <c r="B5" s="11" t="s">
        <v>150</v>
      </c>
      <c r="C5" s="10" t="n">
        <v>2</v>
      </c>
      <c r="D5" s="10" t="n">
        <v>3</v>
      </c>
      <c r="E5" s="10" t="n">
        <v>5</v>
      </c>
      <c r="F5" s="10" t="n">
        <v>6</v>
      </c>
      <c r="G5" s="10" t="n">
        <v>7</v>
      </c>
      <c r="H5" s="10" t="n">
        <v>8</v>
      </c>
      <c r="I5" s="10" t="n">
        <v>10</v>
      </c>
      <c r="J5" s="10" t="n">
        <v>12</v>
      </c>
      <c r="K5" s="10" t="n">
        <v>15</v>
      </c>
      <c r="L5" s="10" t="n">
        <v>17</v>
      </c>
      <c r="M5" s="10" t="n">
        <v>19</v>
      </c>
      <c r="N5" s="10" t="n">
        <v>22</v>
      </c>
      <c r="O5" s="10" t="n">
        <v>25</v>
      </c>
      <c r="P5" s="10" t="n">
        <v>28</v>
      </c>
      <c r="Q5" s="10" t="n">
        <v>31</v>
      </c>
      <c r="R5" s="10" t="n">
        <v>34</v>
      </c>
      <c r="S5" s="10" t="n">
        <v>37</v>
      </c>
      <c r="T5" s="10" t="n">
        <v>40</v>
      </c>
      <c r="U5" s="10" t="n">
        <v>44</v>
      </c>
      <c r="V5" s="10" t="n">
        <v>48</v>
      </c>
      <c r="W5" s="10" t="n">
        <v>52</v>
      </c>
      <c r="X5" s="10" t="n">
        <v>56</v>
      </c>
      <c r="Y5" s="10" t="n">
        <v>60</v>
      </c>
      <c r="Z5" s="10" t="n">
        <v>65</v>
      </c>
      <c r="AA5" s="10" t="n">
        <v>70</v>
      </c>
      <c r="AB5" s="10" t="n">
        <v>75</v>
      </c>
      <c r="AC5" s="10" t="n">
        <v>80</v>
      </c>
      <c r="AD5" s="10" t="n">
        <v>85</v>
      </c>
      <c r="AE5" s="10" t="n">
        <v>90</v>
      </c>
      <c r="AF5" s="10" t="n">
        <v>95</v>
      </c>
      <c r="AG5" s="10" t="n">
        <v>100</v>
      </c>
      <c r="AH5" s="10" t="n">
        <v>105</v>
      </c>
      <c r="AI5" s="10" t="n">
        <v>110</v>
      </c>
      <c r="AJ5" s="10" t="n">
        <v>115</v>
      </c>
      <c r="AK5" s="10" t="n">
        <v>120</v>
      </c>
      <c r="AL5" s="10" t="n">
        <v>125</v>
      </c>
    </row>
    <row r="6" customFormat="false" ht="15" hidden="false" customHeight="true" outlineLevel="0" collapsed="false">
      <c r="A6" s="9" t="s">
        <v>151</v>
      </c>
      <c r="B6" s="11" t="s">
        <v>152</v>
      </c>
      <c r="C6" s="22" t="n">
        <f aca="false">C5*가정!$B$17</f>
        <v>2400</v>
      </c>
      <c r="D6" s="22" t="n">
        <f aca="false">D5*가정!$B$17</f>
        <v>3600</v>
      </c>
      <c r="E6" s="22" t="n">
        <f aca="false">E5*가정!$B$17</f>
        <v>6000</v>
      </c>
      <c r="F6" s="22" t="n">
        <f aca="false">F5*가정!$B$17</f>
        <v>7200</v>
      </c>
      <c r="G6" s="22" t="n">
        <f aca="false">G5*가정!$B$17</f>
        <v>8400</v>
      </c>
      <c r="H6" s="22" t="n">
        <f aca="false">H5*가정!$B$17</f>
        <v>9600</v>
      </c>
      <c r="I6" s="22" t="n">
        <f aca="false">I5*가정!$B$17</f>
        <v>12000</v>
      </c>
      <c r="J6" s="22" t="n">
        <f aca="false">J5*가정!$B$17</f>
        <v>14400</v>
      </c>
      <c r="K6" s="22" t="n">
        <f aca="false">K5*가정!$B$17</f>
        <v>18000</v>
      </c>
      <c r="L6" s="22" t="n">
        <f aca="false">L5*가정!$B$17</f>
        <v>20400</v>
      </c>
      <c r="M6" s="22" t="n">
        <f aca="false">M5*가정!$B$17</f>
        <v>22800</v>
      </c>
      <c r="N6" s="22" t="n">
        <f aca="false">N5*가정!$B$17</f>
        <v>26400</v>
      </c>
      <c r="O6" s="22" t="n">
        <f aca="false">O5*가정!$B$17</f>
        <v>30000</v>
      </c>
      <c r="P6" s="22" t="n">
        <f aca="false">P5*가정!$B$17</f>
        <v>33600</v>
      </c>
      <c r="Q6" s="22" t="n">
        <f aca="false">Q5*가정!$B$17</f>
        <v>37200</v>
      </c>
      <c r="R6" s="22" t="n">
        <f aca="false">R5*가정!$B$17</f>
        <v>40800</v>
      </c>
      <c r="S6" s="22" t="n">
        <f aca="false">S5*가정!$B$17</f>
        <v>44400</v>
      </c>
      <c r="T6" s="22" t="n">
        <f aca="false">T5*가정!$B$17</f>
        <v>48000</v>
      </c>
      <c r="U6" s="22" t="n">
        <f aca="false">U5*가정!$B$17</f>
        <v>52800</v>
      </c>
      <c r="V6" s="22" t="n">
        <f aca="false">V5*가정!$B$17</f>
        <v>57600</v>
      </c>
      <c r="W6" s="22" t="n">
        <f aca="false">W5*가정!$B$17</f>
        <v>62400</v>
      </c>
      <c r="X6" s="22" t="n">
        <f aca="false">X5*가정!$B$17</f>
        <v>67200</v>
      </c>
      <c r="Y6" s="22" t="n">
        <f aca="false">Y5*가정!$B$17</f>
        <v>72000</v>
      </c>
      <c r="Z6" s="22" t="n">
        <f aca="false">Z5*가정!$B$17</f>
        <v>78000</v>
      </c>
      <c r="AA6" s="22" t="n">
        <f aca="false">AA5*가정!$B$17</f>
        <v>84000</v>
      </c>
      <c r="AB6" s="22" t="n">
        <f aca="false">AB5*가정!$B$17</f>
        <v>90000</v>
      </c>
      <c r="AC6" s="22" t="n">
        <f aca="false">AC5*가정!$B$17</f>
        <v>96000</v>
      </c>
      <c r="AD6" s="22" t="n">
        <f aca="false">AD5*가정!$B$17</f>
        <v>102000</v>
      </c>
      <c r="AE6" s="22" t="n">
        <f aca="false">AE5*가정!$B$17</f>
        <v>108000</v>
      </c>
      <c r="AF6" s="22" t="n">
        <f aca="false">AF5*가정!$B$17</f>
        <v>114000</v>
      </c>
      <c r="AG6" s="22" t="n">
        <f aca="false">AG5*가정!$B$17</f>
        <v>120000</v>
      </c>
      <c r="AH6" s="22" t="n">
        <f aca="false">AH5*가정!$B$17</f>
        <v>126000</v>
      </c>
      <c r="AI6" s="22" t="n">
        <f aca="false">AI5*가정!$B$17</f>
        <v>132000</v>
      </c>
      <c r="AJ6" s="22" t="n">
        <f aca="false">AJ5*가정!$B$17</f>
        <v>138000</v>
      </c>
      <c r="AK6" s="22" t="n">
        <f aca="false">AK5*가정!$B$17</f>
        <v>144000</v>
      </c>
      <c r="AL6" s="22" t="n">
        <f aca="false">AL5*가정!$B$17</f>
        <v>150000</v>
      </c>
    </row>
    <row r="7" customFormat="false" ht="15" hidden="false" customHeight="true" outlineLevel="0" collapsed="false">
      <c r="A7" s="17" t="s">
        <v>153</v>
      </c>
      <c r="B7" s="11" t="s">
        <v>152</v>
      </c>
      <c r="C7" s="22" t="n">
        <f aca="false">C6*가정!$B$18</f>
        <v>144</v>
      </c>
      <c r="D7" s="22" t="n">
        <f aca="false">D6*가정!$B$18</f>
        <v>216</v>
      </c>
      <c r="E7" s="22" t="n">
        <f aca="false">E6*가정!$B$18</f>
        <v>360</v>
      </c>
      <c r="F7" s="22" t="n">
        <f aca="false">F6*가정!$B$18</f>
        <v>432</v>
      </c>
      <c r="G7" s="22" t="n">
        <f aca="false">G6*가정!$B$18</f>
        <v>504</v>
      </c>
      <c r="H7" s="22" t="n">
        <f aca="false">H6*가정!$B$18</f>
        <v>576</v>
      </c>
      <c r="I7" s="22" t="n">
        <f aca="false">I6*가정!$B$18</f>
        <v>720</v>
      </c>
      <c r="J7" s="22" t="n">
        <f aca="false">J6*가정!$B$18</f>
        <v>864</v>
      </c>
      <c r="K7" s="22" t="n">
        <f aca="false">K6*가정!$B$18</f>
        <v>1080</v>
      </c>
      <c r="L7" s="22" t="n">
        <f aca="false">L6*가정!$B$18</f>
        <v>1224</v>
      </c>
      <c r="M7" s="22" t="n">
        <f aca="false">M6*가정!$B$18</f>
        <v>1368</v>
      </c>
      <c r="N7" s="22" t="n">
        <f aca="false">N6*가정!$B$18</f>
        <v>1584</v>
      </c>
      <c r="O7" s="22" t="n">
        <f aca="false">O6*가정!$B$18</f>
        <v>1800</v>
      </c>
      <c r="P7" s="22" t="n">
        <f aca="false">P6*가정!$B$18</f>
        <v>2016</v>
      </c>
      <c r="Q7" s="22" t="n">
        <f aca="false">Q6*가정!$B$18</f>
        <v>2232</v>
      </c>
      <c r="R7" s="22" t="n">
        <f aca="false">R6*가정!$B$18</f>
        <v>2448</v>
      </c>
      <c r="S7" s="22" t="n">
        <f aca="false">S6*가정!$B$18</f>
        <v>2664</v>
      </c>
      <c r="T7" s="22" t="n">
        <f aca="false">T6*가정!$B$18</f>
        <v>2880</v>
      </c>
      <c r="U7" s="22" t="n">
        <f aca="false">U6*가정!$B$18</f>
        <v>3168</v>
      </c>
      <c r="V7" s="22" t="n">
        <f aca="false">V6*가정!$B$18</f>
        <v>3456</v>
      </c>
      <c r="W7" s="22" t="n">
        <f aca="false">W6*가정!$B$18</f>
        <v>3744</v>
      </c>
      <c r="X7" s="22" t="n">
        <f aca="false">X6*가정!$B$18</f>
        <v>4032</v>
      </c>
      <c r="Y7" s="22" t="n">
        <f aca="false">Y6*가정!$B$18</f>
        <v>4320</v>
      </c>
      <c r="Z7" s="22" t="n">
        <f aca="false">Z6*가정!$B$18</f>
        <v>4680</v>
      </c>
      <c r="AA7" s="22" t="n">
        <f aca="false">AA6*가정!$B$18</f>
        <v>5040</v>
      </c>
      <c r="AB7" s="22" t="n">
        <f aca="false">AB6*가정!$B$18</f>
        <v>5400</v>
      </c>
      <c r="AC7" s="22" t="n">
        <f aca="false">AC6*가정!$B$18</f>
        <v>5760</v>
      </c>
      <c r="AD7" s="22" t="n">
        <f aca="false">AD6*가정!$B$18</f>
        <v>6120</v>
      </c>
      <c r="AE7" s="22" t="n">
        <f aca="false">AE6*가정!$B$18</f>
        <v>6480</v>
      </c>
      <c r="AF7" s="22" t="n">
        <f aca="false">AF6*가정!$B$18</f>
        <v>6840</v>
      </c>
      <c r="AG7" s="22" t="n">
        <f aca="false">AG6*가정!$B$18</f>
        <v>7200</v>
      </c>
      <c r="AH7" s="22" t="n">
        <f aca="false">AH6*가정!$B$18</f>
        <v>7560</v>
      </c>
      <c r="AI7" s="22" t="n">
        <f aca="false">AI6*가정!$B$18</f>
        <v>7920</v>
      </c>
      <c r="AJ7" s="22" t="n">
        <f aca="false">AJ6*가정!$B$18</f>
        <v>8280</v>
      </c>
      <c r="AK7" s="22" t="n">
        <f aca="false">AK6*가정!$B$18</f>
        <v>8640</v>
      </c>
      <c r="AL7" s="22" t="n">
        <f aca="false">AL6*가정!$B$18</f>
        <v>9000</v>
      </c>
    </row>
    <row r="8" customFormat="false" ht="15" hidden="false" customHeight="true" outlineLevel="0" collapsed="false">
      <c r="A8" s="9" t="s">
        <v>154</v>
      </c>
      <c r="B8" s="11" t="s">
        <v>155</v>
      </c>
      <c r="C8" s="22" t="n">
        <f aca="false">C7*가정!$B$19</f>
        <v>64.8</v>
      </c>
      <c r="D8" s="22" t="n">
        <f aca="false">D7*가정!$B$19</f>
        <v>97.2</v>
      </c>
      <c r="E8" s="22" t="n">
        <f aca="false">E7*가정!$B$19</f>
        <v>162</v>
      </c>
      <c r="F8" s="22" t="n">
        <f aca="false">F7*가정!$B$19</f>
        <v>194.4</v>
      </c>
      <c r="G8" s="22" t="n">
        <f aca="false">G7*가정!$B$19</f>
        <v>226.8</v>
      </c>
      <c r="H8" s="22" t="n">
        <f aca="false">H7*가정!$B$19</f>
        <v>259.2</v>
      </c>
      <c r="I8" s="22" t="n">
        <f aca="false">I7*가정!$B$19</f>
        <v>324</v>
      </c>
      <c r="J8" s="22" t="n">
        <f aca="false">J7*가정!$B$19</f>
        <v>388.8</v>
      </c>
      <c r="K8" s="22" t="n">
        <f aca="false">K7*가정!$B$19</f>
        <v>486</v>
      </c>
      <c r="L8" s="22" t="n">
        <f aca="false">L7*가정!$B$19</f>
        <v>550.8</v>
      </c>
      <c r="M8" s="22" t="n">
        <f aca="false">M7*가정!$B$19</f>
        <v>615.6</v>
      </c>
      <c r="N8" s="22" t="n">
        <f aca="false">N7*가정!$B$19</f>
        <v>712.8</v>
      </c>
      <c r="O8" s="22" t="n">
        <f aca="false">O7*가정!$B$19</f>
        <v>810</v>
      </c>
      <c r="P8" s="22" t="n">
        <f aca="false">P7*가정!$B$19</f>
        <v>907.2</v>
      </c>
      <c r="Q8" s="22" t="n">
        <f aca="false">Q7*가정!$B$19</f>
        <v>1004.4</v>
      </c>
      <c r="R8" s="22" t="n">
        <f aca="false">R7*가정!$B$19</f>
        <v>1101.6</v>
      </c>
      <c r="S8" s="22" t="n">
        <f aca="false">S7*가정!$B$19</f>
        <v>1198.8</v>
      </c>
      <c r="T8" s="22" t="n">
        <f aca="false">T7*가정!$B$19</f>
        <v>1296</v>
      </c>
      <c r="U8" s="22" t="n">
        <f aca="false">U7*가정!$B$19</f>
        <v>1425.6</v>
      </c>
      <c r="V8" s="22" t="n">
        <f aca="false">V7*가정!$B$19</f>
        <v>1555.2</v>
      </c>
      <c r="W8" s="22" t="n">
        <f aca="false">W7*가정!$B$19</f>
        <v>1684.8</v>
      </c>
      <c r="X8" s="22" t="n">
        <f aca="false">X7*가정!$B$19</f>
        <v>1814.4</v>
      </c>
      <c r="Y8" s="22" t="n">
        <f aca="false">Y7*가정!$B$19</f>
        <v>1944</v>
      </c>
      <c r="Z8" s="22" t="n">
        <f aca="false">Z7*가정!$B$19</f>
        <v>2106</v>
      </c>
      <c r="AA8" s="22" t="n">
        <f aca="false">AA7*가정!$B$19</f>
        <v>2268</v>
      </c>
      <c r="AB8" s="22" t="n">
        <f aca="false">AB7*가정!$B$19</f>
        <v>2430</v>
      </c>
      <c r="AC8" s="22" t="n">
        <f aca="false">AC7*가정!$B$19</f>
        <v>2592</v>
      </c>
      <c r="AD8" s="22" t="n">
        <f aca="false">AD7*가정!$B$19</f>
        <v>2754</v>
      </c>
      <c r="AE8" s="22" t="n">
        <f aca="false">AE7*가정!$B$19</f>
        <v>2916</v>
      </c>
      <c r="AF8" s="22" t="n">
        <f aca="false">AF7*가정!$B$19</f>
        <v>3078</v>
      </c>
      <c r="AG8" s="22" t="n">
        <f aca="false">AG7*가정!$B$19</f>
        <v>3240</v>
      </c>
      <c r="AH8" s="22" t="n">
        <f aca="false">AH7*가정!$B$19</f>
        <v>3402</v>
      </c>
      <c r="AI8" s="22" t="n">
        <f aca="false">AI7*가정!$B$19</f>
        <v>3564</v>
      </c>
      <c r="AJ8" s="22" t="n">
        <f aca="false">AJ7*가정!$B$19</f>
        <v>3726</v>
      </c>
      <c r="AK8" s="22" t="n">
        <f aca="false">AK7*가정!$B$19</f>
        <v>3888</v>
      </c>
      <c r="AL8" s="22" t="n">
        <f aca="false">AL7*가정!$B$19</f>
        <v>4050</v>
      </c>
    </row>
    <row r="9" customFormat="false" ht="15" hidden="false" customHeight="true" outlineLevel="0" collapsed="false">
      <c r="A9" s="9" t="s">
        <v>156</v>
      </c>
      <c r="B9" s="11" t="s">
        <v>155</v>
      </c>
      <c r="C9" s="22" t="n">
        <f aca="false">C8*가정!$B$20</f>
        <v>38.88</v>
      </c>
      <c r="D9" s="22" t="n">
        <f aca="false">D8*가정!$B$20</f>
        <v>58.32</v>
      </c>
      <c r="E9" s="22" t="n">
        <f aca="false">E8*가정!$B$20</f>
        <v>97.2</v>
      </c>
      <c r="F9" s="22" t="n">
        <f aca="false">F8*가정!$B$20</f>
        <v>116.64</v>
      </c>
      <c r="G9" s="22" t="n">
        <f aca="false">G8*가정!$B$20</f>
        <v>136.08</v>
      </c>
      <c r="H9" s="22" t="n">
        <f aca="false">H8*가정!$B$20</f>
        <v>155.52</v>
      </c>
      <c r="I9" s="22" t="n">
        <f aca="false">I8*가정!$B$20</f>
        <v>194.4</v>
      </c>
      <c r="J9" s="22" t="n">
        <f aca="false">J8*가정!$B$20</f>
        <v>233.28</v>
      </c>
      <c r="K9" s="22" t="n">
        <f aca="false">K8*가정!$B$20</f>
        <v>291.6</v>
      </c>
      <c r="L9" s="22" t="n">
        <f aca="false">L8*가정!$B$20</f>
        <v>330.48</v>
      </c>
      <c r="M9" s="22" t="n">
        <f aca="false">M8*가정!$B$20</f>
        <v>369.36</v>
      </c>
      <c r="N9" s="22" t="n">
        <f aca="false">N8*가정!$B$20</f>
        <v>427.68</v>
      </c>
      <c r="O9" s="22" t="n">
        <f aca="false">O8*가정!$B$20</f>
        <v>486</v>
      </c>
      <c r="P9" s="22" t="n">
        <f aca="false">P8*가정!$B$20</f>
        <v>544.32</v>
      </c>
      <c r="Q9" s="22" t="n">
        <f aca="false">Q8*가정!$B$20</f>
        <v>602.64</v>
      </c>
      <c r="R9" s="22" t="n">
        <f aca="false">R8*가정!$B$20</f>
        <v>660.96</v>
      </c>
      <c r="S9" s="22" t="n">
        <f aca="false">S8*가정!$B$20</f>
        <v>719.28</v>
      </c>
      <c r="T9" s="22" t="n">
        <f aca="false">T8*가정!$B$20</f>
        <v>777.6</v>
      </c>
      <c r="U9" s="22" t="n">
        <f aca="false">U8*가정!$B$20</f>
        <v>855.36</v>
      </c>
      <c r="V9" s="22" t="n">
        <f aca="false">V8*가정!$B$20</f>
        <v>933.12</v>
      </c>
      <c r="W9" s="22" t="n">
        <f aca="false">W8*가정!$B$20</f>
        <v>1010.88</v>
      </c>
      <c r="X9" s="22" t="n">
        <f aca="false">X8*가정!$B$20</f>
        <v>1088.64</v>
      </c>
      <c r="Y9" s="22" t="n">
        <f aca="false">Y8*가정!$B$20</f>
        <v>1166.4</v>
      </c>
      <c r="Z9" s="22" t="n">
        <f aca="false">Z8*가정!$B$20</f>
        <v>1263.6</v>
      </c>
      <c r="AA9" s="22" t="n">
        <f aca="false">AA8*가정!$B$20</f>
        <v>1360.8</v>
      </c>
      <c r="AB9" s="22" t="n">
        <f aca="false">AB8*가정!$B$20</f>
        <v>1458</v>
      </c>
      <c r="AC9" s="22" t="n">
        <f aca="false">AC8*가정!$B$20</f>
        <v>1555.2</v>
      </c>
      <c r="AD9" s="22" t="n">
        <f aca="false">AD8*가정!$B$20</f>
        <v>1652.4</v>
      </c>
      <c r="AE9" s="22" t="n">
        <f aca="false">AE8*가정!$B$20</f>
        <v>1749.6</v>
      </c>
      <c r="AF9" s="22" t="n">
        <f aca="false">AF8*가정!$B$20</f>
        <v>1846.8</v>
      </c>
      <c r="AG9" s="22" t="n">
        <f aca="false">AG8*가정!$B$20</f>
        <v>1944</v>
      </c>
      <c r="AH9" s="22" t="n">
        <f aca="false">AH8*가정!$B$20</f>
        <v>2041.2</v>
      </c>
      <c r="AI9" s="22" t="n">
        <f aca="false">AI8*가정!$B$20</f>
        <v>2138.4</v>
      </c>
      <c r="AJ9" s="22" t="n">
        <f aca="false">AJ8*가정!$B$20</f>
        <v>2235.6</v>
      </c>
      <c r="AK9" s="22" t="n">
        <f aca="false">AK8*가정!$B$20</f>
        <v>2332.8</v>
      </c>
      <c r="AL9" s="22" t="n">
        <f aca="false">AL8*가정!$B$20</f>
        <v>2430</v>
      </c>
    </row>
    <row r="10" customFormat="false" ht="15" hidden="false" customHeight="true" outlineLevel="0" collapsed="false">
      <c r="A10" s="9" t="s">
        <v>157</v>
      </c>
      <c r="B10" s="11" t="s">
        <v>155</v>
      </c>
      <c r="C10" s="22" t="n">
        <f aca="false">C9*가정!$B$21</f>
        <v>17.496</v>
      </c>
      <c r="D10" s="22" t="n">
        <f aca="false">D9*가정!$B$21</f>
        <v>26.244</v>
      </c>
      <c r="E10" s="22" t="n">
        <f aca="false">E9*가정!$B$21</f>
        <v>43.74</v>
      </c>
      <c r="F10" s="22" t="n">
        <f aca="false">F9*가정!$B$21</f>
        <v>52.488</v>
      </c>
      <c r="G10" s="22" t="n">
        <f aca="false">G9*가정!$B$21</f>
        <v>61.236</v>
      </c>
      <c r="H10" s="22" t="n">
        <f aca="false">H9*가정!$B$21</f>
        <v>69.984</v>
      </c>
      <c r="I10" s="22" t="n">
        <f aca="false">I9*가정!$B$21</f>
        <v>87.48</v>
      </c>
      <c r="J10" s="22" t="n">
        <f aca="false">J9*가정!$B$21</f>
        <v>104.976</v>
      </c>
      <c r="K10" s="22" t="n">
        <f aca="false">K9*가정!$B$21</f>
        <v>131.22</v>
      </c>
      <c r="L10" s="22" t="n">
        <f aca="false">L9*가정!$B$21</f>
        <v>148.716</v>
      </c>
      <c r="M10" s="22" t="n">
        <f aca="false">M9*가정!$B$21</f>
        <v>166.212</v>
      </c>
      <c r="N10" s="22" t="n">
        <f aca="false">N9*가정!$B$21</f>
        <v>192.456</v>
      </c>
      <c r="O10" s="22" t="n">
        <f aca="false">O9*가정!$B$21</f>
        <v>218.7</v>
      </c>
      <c r="P10" s="22" t="n">
        <f aca="false">P9*가정!$B$21</f>
        <v>244.944</v>
      </c>
      <c r="Q10" s="22" t="n">
        <f aca="false">Q9*가정!$B$21</f>
        <v>271.188</v>
      </c>
      <c r="R10" s="22" t="n">
        <f aca="false">R9*가정!$B$21</f>
        <v>297.432</v>
      </c>
      <c r="S10" s="22" t="n">
        <f aca="false">S9*가정!$B$21</f>
        <v>323.676</v>
      </c>
      <c r="T10" s="22" t="n">
        <f aca="false">T9*가정!$B$21</f>
        <v>349.92</v>
      </c>
      <c r="U10" s="22" t="n">
        <f aca="false">U9*가정!$B$21</f>
        <v>384.912</v>
      </c>
      <c r="V10" s="22" t="n">
        <f aca="false">V9*가정!$B$21</f>
        <v>419.904</v>
      </c>
      <c r="W10" s="22" t="n">
        <f aca="false">W9*가정!$B$21</f>
        <v>454.896</v>
      </c>
      <c r="X10" s="22" t="n">
        <f aca="false">X9*가정!$B$21</f>
        <v>489.888</v>
      </c>
      <c r="Y10" s="22" t="n">
        <f aca="false">Y9*가정!$B$21</f>
        <v>524.88</v>
      </c>
      <c r="Z10" s="22" t="n">
        <f aca="false">Z9*가정!$B$21</f>
        <v>568.62</v>
      </c>
      <c r="AA10" s="22" t="n">
        <f aca="false">AA9*가정!$B$21</f>
        <v>612.36</v>
      </c>
      <c r="AB10" s="22" t="n">
        <f aca="false">AB9*가정!$B$21</f>
        <v>656.1</v>
      </c>
      <c r="AC10" s="22" t="n">
        <f aca="false">AC9*가정!$B$21</f>
        <v>699.84</v>
      </c>
      <c r="AD10" s="22" t="n">
        <f aca="false">AD9*가정!$B$21</f>
        <v>743.58</v>
      </c>
      <c r="AE10" s="22" t="n">
        <f aca="false">AE9*가정!$B$21</f>
        <v>787.32</v>
      </c>
      <c r="AF10" s="22" t="n">
        <f aca="false">AF9*가정!$B$21</f>
        <v>831.06</v>
      </c>
      <c r="AG10" s="22" t="n">
        <f aca="false">AG9*가정!$B$21</f>
        <v>874.8</v>
      </c>
      <c r="AH10" s="22" t="n">
        <f aca="false">AH9*가정!$B$21</f>
        <v>918.54</v>
      </c>
      <c r="AI10" s="22" t="n">
        <f aca="false">AI9*가정!$B$21</f>
        <v>962.28</v>
      </c>
      <c r="AJ10" s="22" t="n">
        <f aca="false">AJ9*가정!$B$21</f>
        <v>1006.02</v>
      </c>
      <c r="AK10" s="22" t="n">
        <f aca="false">AK9*가정!$B$21</f>
        <v>1049.76</v>
      </c>
      <c r="AL10" s="22" t="n">
        <f aca="false">AL9*가정!$B$21</f>
        <v>1093.5</v>
      </c>
    </row>
    <row r="11" customFormat="false" ht="15" hidden="false" customHeight="true" outlineLevel="0" collapsed="false">
      <c r="A11" s="9" t="s">
        <v>158</v>
      </c>
      <c r="B11" s="13" t="s">
        <v>159</v>
      </c>
      <c r="C11" s="10" t="n">
        <v>0</v>
      </c>
      <c r="D11" s="10" t="n">
        <v>1000000</v>
      </c>
      <c r="E11" s="10" t="n">
        <v>2000000</v>
      </c>
      <c r="F11" s="10" t="n">
        <v>3000000</v>
      </c>
      <c r="G11" s="10" t="n">
        <v>3000000</v>
      </c>
      <c r="H11" s="10" t="n">
        <v>3000000</v>
      </c>
      <c r="I11" s="10" t="n">
        <v>5000000</v>
      </c>
      <c r="J11" s="10" t="n">
        <v>5000000</v>
      </c>
      <c r="K11" s="10" t="n">
        <v>5000000</v>
      </c>
      <c r="L11" s="10" t="n">
        <v>8000000</v>
      </c>
      <c r="M11" s="10" t="n">
        <v>8000000</v>
      </c>
      <c r="N11" s="10" t="n">
        <v>8000000</v>
      </c>
      <c r="O11" s="10" t="n">
        <v>12000000</v>
      </c>
      <c r="P11" s="10" t="n">
        <v>12000000</v>
      </c>
      <c r="Q11" s="10" t="n">
        <v>12000000</v>
      </c>
      <c r="R11" s="10" t="n">
        <v>12000000</v>
      </c>
      <c r="S11" s="10" t="n">
        <v>12000000</v>
      </c>
      <c r="T11" s="10" t="n">
        <v>12000000</v>
      </c>
      <c r="U11" s="10" t="n">
        <v>20000000</v>
      </c>
      <c r="V11" s="10" t="n">
        <v>20000000</v>
      </c>
      <c r="W11" s="10" t="n">
        <v>20000000</v>
      </c>
      <c r="X11" s="10" t="n">
        <v>20000000</v>
      </c>
      <c r="Y11" s="10" t="n">
        <v>20000000</v>
      </c>
      <c r="Z11" s="10" t="n">
        <v>20000000</v>
      </c>
      <c r="AA11" s="10" t="n">
        <v>30000000</v>
      </c>
      <c r="AB11" s="10" t="n">
        <v>30000000</v>
      </c>
      <c r="AC11" s="10" t="n">
        <v>30000000</v>
      </c>
      <c r="AD11" s="10" t="n">
        <v>30000000</v>
      </c>
      <c r="AE11" s="10" t="n">
        <v>30000000</v>
      </c>
      <c r="AF11" s="10" t="n">
        <v>30000000</v>
      </c>
      <c r="AG11" s="10" t="n">
        <v>30000000</v>
      </c>
      <c r="AH11" s="10" t="n">
        <v>30000000</v>
      </c>
      <c r="AI11" s="10" t="n">
        <v>30000000</v>
      </c>
      <c r="AJ11" s="10" t="n">
        <v>30000000</v>
      </c>
      <c r="AK11" s="10" t="n">
        <v>30000000</v>
      </c>
      <c r="AL11" s="10" t="n">
        <v>30000000</v>
      </c>
    </row>
    <row r="12" customFormat="false" ht="15" hidden="false" customHeight="true" outlineLevel="0" collapsed="false">
      <c r="A12" s="17" t="s">
        <v>160</v>
      </c>
      <c r="B12" s="11" t="s">
        <v>155</v>
      </c>
      <c r="C12" s="22" t="n">
        <f aca="false">C11/가정!$B$25</f>
        <v>0</v>
      </c>
      <c r="D12" s="22" t="n">
        <f aca="false">D11/가정!$B$25</f>
        <v>33.3333333333333</v>
      </c>
      <c r="E12" s="22" t="n">
        <f aca="false">E11/가정!$B$25</f>
        <v>66.6666666666667</v>
      </c>
      <c r="F12" s="22" t="n">
        <f aca="false">F11/가정!$B$25</f>
        <v>100</v>
      </c>
      <c r="G12" s="22" t="n">
        <f aca="false">G11/가정!$B$25</f>
        <v>100</v>
      </c>
      <c r="H12" s="22" t="n">
        <f aca="false">H11/가정!$B$25</f>
        <v>100</v>
      </c>
      <c r="I12" s="22" t="n">
        <f aca="false">I11/가정!$B$25</f>
        <v>166.666666666667</v>
      </c>
      <c r="J12" s="22" t="n">
        <f aca="false">J11/가정!$B$25</f>
        <v>166.666666666667</v>
      </c>
      <c r="K12" s="22" t="n">
        <f aca="false">K11/가정!$B$25</f>
        <v>166.666666666667</v>
      </c>
      <c r="L12" s="22" t="n">
        <f aca="false">L11/가정!$B$25</f>
        <v>266.666666666667</v>
      </c>
      <c r="M12" s="22" t="n">
        <f aca="false">M11/가정!$B$25</f>
        <v>266.666666666667</v>
      </c>
      <c r="N12" s="22" t="n">
        <f aca="false">N11/가정!$B$25</f>
        <v>266.666666666667</v>
      </c>
      <c r="O12" s="22" t="n">
        <f aca="false">O11/가정!$B$25</f>
        <v>400</v>
      </c>
      <c r="P12" s="22" t="n">
        <f aca="false">P11/가정!$B$25</f>
        <v>400</v>
      </c>
      <c r="Q12" s="22" t="n">
        <f aca="false">Q11/가정!$B$25</f>
        <v>400</v>
      </c>
      <c r="R12" s="22" t="n">
        <f aca="false">R11/가정!$B$25</f>
        <v>400</v>
      </c>
      <c r="S12" s="22" t="n">
        <f aca="false">S11/가정!$B$25</f>
        <v>400</v>
      </c>
      <c r="T12" s="22" t="n">
        <f aca="false">T11/가정!$B$25</f>
        <v>400</v>
      </c>
      <c r="U12" s="22" t="n">
        <f aca="false">U11/가정!$B$25</f>
        <v>666.666666666667</v>
      </c>
      <c r="V12" s="22" t="n">
        <f aca="false">V11/가정!$B$25</f>
        <v>666.666666666667</v>
      </c>
      <c r="W12" s="22" t="n">
        <f aca="false">W11/가정!$B$25</f>
        <v>666.666666666667</v>
      </c>
      <c r="X12" s="22" t="n">
        <f aca="false">X11/가정!$B$25</f>
        <v>666.666666666667</v>
      </c>
      <c r="Y12" s="22" t="n">
        <f aca="false">Y11/가정!$B$25</f>
        <v>666.666666666667</v>
      </c>
      <c r="Z12" s="22" t="n">
        <f aca="false">Z11/가정!$B$25</f>
        <v>666.666666666667</v>
      </c>
      <c r="AA12" s="22" t="n">
        <f aca="false">AA11/가정!$B$25</f>
        <v>1000</v>
      </c>
      <c r="AB12" s="22" t="n">
        <f aca="false">AB11/가정!$B$25</f>
        <v>1000</v>
      </c>
      <c r="AC12" s="22" t="n">
        <f aca="false">AC11/가정!$B$25</f>
        <v>1000</v>
      </c>
      <c r="AD12" s="22" t="n">
        <f aca="false">AD11/가정!$B$25</f>
        <v>1000</v>
      </c>
      <c r="AE12" s="22" t="n">
        <f aca="false">AE11/가정!$B$25</f>
        <v>1000</v>
      </c>
      <c r="AF12" s="22" t="n">
        <f aca="false">AF11/가정!$B$25</f>
        <v>1000</v>
      </c>
      <c r="AG12" s="22" t="n">
        <f aca="false">AG11/가정!$B$25</f>
        <v>1000</v>
      </c>
      <c r="AH12" s="22" t="n">
        <f aca="false">AH11/가정!$B$25</f>
        <v>1000</v>
      </c>
      <c r="AI12" s="22" t="n">
        <f aca="false">AI11/가정!$B$25</f>
        <v>1000</v>
      </c>
      <c r="AJ12" s="22" t="n">
        <f aca="false">AJ11/가정!$B$25</f>
        <v>1000</v>
      </c>
      <c r="AK12" s="22" t="n">
        <f aca="false">AK11/가정!$B$25</f>
        <v>1000</v>
      </c>
      <c r="AL12" s="22" t="n">
        <f aca="false">AL11/가정!$B$25</f>
        <v>1000</v>
      </c>
    </row>
    <row r="13" customFormat="false" ht="15" hidden="false" customHeight="true" outlineLevel="0" collapsed="false">
      <c r="A13" s="9" t="s">
        <v>161</v>
      </c>
      <c r="B13" s="11" t="s">
        <v>155</v>
      </c>
      <c r="C13" s="22" t="n">
        <f aca="false">C10+C12</f>
        <v>17.496</v>
      </c>
      <c r="D13" s="22" t="n">
        <f aca="false">D10+D12</f>
        <v>59.5773333333333</v>
      </c>
      <c r="E13" s="22" t="n">
        <f aca="false">E10+E12</f>
        <v>110.406666666667</v>
      </c>
      <c r="F13" s="22" t="n">
        <f aca="false">F10+F12</f>
        <v>152.488</v>
      </c>
      <c r="G13" s="22" t="n">
        <f aca="false">G10+G12</f>
        <v>161.236</v>
      </c>
      <c r="H13" s="22" t="n">
        <f aca="false">H10+H12</f>
        <v>169.984</v>
      </c>
      <c r="I13" s="22" t="n">
        <f aca="false">I10+I12</f>
        <v>254.146666666667</v>
      </c>
      <c r="J13" s="22" t="n">
        <f aca="false">J10+J12</f>
        <v>271.642666666667</v>
      </c>
      <c r="K13" s="22" t="n">
        <f aca="false">K10+K12</f>
        <v>297.886666666667</v>
      </c>
      <c r="L13" s="22" t="n">
        <f aca="false">L10+L12</f>
        <v>415.382666666667</v>
      </c>
      <c r="M13" s="22" t="n">
        <f aca="false">M10+M12</f>
        <v>432.878666666667</v>
      </c>
      <c r="N13" s="22" t="n">
        <f aca="false">N10+N12</f>
        <v>459.122666666667</v>
      </c>
      <c r="O13" s="22" t="n">
        <f aca="false">O10+O12</f>
        <v>618.7</v>
      </c>
      <c r="P13" s="22" t="n">
        <f aca="false">P10+P12</f>
        <v>644.944</v>
      </c>
      <c r="Q13" s="22" t="n">
        <f aca="false">Q10+Q12</f>
        <v>671.188</v>
      </c>
      <c r="R13" s="22" t="n">
        <f aca="false">R10+R12</f>
        <v>697.432</v>
      </c>
      <c r="S13" s="22" t="n">
        <f aca="false">S10+S12</f>
        <v>723.676</v>
      </c>
      <c r="T13" s="22" t="n">
        <f aca="false">T10+T12</f>
        <v>749.92</v>
      </c>
      <c r="U13" s="22" t="n">
        <f aca="false">U10+U12</f>
        <v>1051.57866666667</v>
      </c>
      <c r="V13" s="22" t="n">
        <f aca="false">V10+V12</f>
        <v>1086.57066666667</v>
      </c>
      <c r="W13" s="22" t="n">
        <f aca="false">W10+W12</f>
        <v>1121.56266666667</v>
      </c>
      <c r="X13" s="22" t="n">
        <f aca="false">X10+X12</f>
        <v>1156.55466666667</v>
      </c>
      <c r="Y13" s="22" t="n">
        <f aca="false">Y10+Y12</f>
        <v>1191.54666666667</v>
      </c>
      <c r="Z13" s="22" t="n">
        <f aca="false">Z10+Z12</f>
        <v>1235.28666666667</v>
      </c>
      <c r="AA13" s="22" t="n">
        <f aca="false">AA10+AA12</f>
        <v>1612.36</v>
      </c>
      <c r="AB13" s="22" t="n">
        <f aca="false">AB10+AB12</f>
        <v>1656.1</v>
      </c>
      <c r="AC13" s="22" t="n">
        <f aca="false">AC10+AC12</f>
        <v>1699.84</v>
      </c>
      <c r="AD13" s="22" t="n">
        <f aca="false">AD10+AD12</f>
        <v>1743.58</v>
      </c>
      <c r="AE13" s="22" t="n">
        <f aca="false">AE10+AE12</f>
        <v>1787.32</v>
      </c>
      <c r="AF13" s="22" t="n">
        <f aca="false">AF10+AF12</f>
        <v>1831.06</v>
      </c>
      <c r="AG13" s="22" t="n">
        <f aca="false">AG10+AG12</f>
        <v>1874.8</v>
      </c>
      <c r="AH13" s="22" t="n">
        <f aca="false">AH10+AH12</f>
        <v>1918.54</v>
      </c>
      <c r="AI13" s="22" t="n">
        <f aca="false">AI10+AI12</f>
        <v>1962.28</v>
      </c>
      <c r="AJ13" s="22" t="n">
        <f aca="false">AJ10+AJ12</f>
        <v>2006.02</v>
      </c>
      <c r="AK13" s="22" t="n">
        <f aca="false">AK10+AK12</f>
        <v>2049.76</v>
      </c>
      <c r="AL13" s="22" t="n">
        <f aca="false">AL10+AL12</f>
        <v>2093.5</v>
      </c>
    </row>
    <row r="14" customFormat="false" ht="15" hidden="false" customHeight="true" outlineLevel="0" collapsed="false">
      <c r="A14" s="9" t="s">
        <v>162</v>
      </c>
      <c r="B14" s="11" t="s">
        <v>155</v>
      </c>
      <c r="C14" s="22" t="n">
        <v>0</v>
      </c>
      <c r="D14" s="22" t="n">
        <f aca="false">C15*가정!$B$22</f>
        <v>4.374</v>
      </c>
      <c r="E14" s="22" t="n">
        <f aca="false">D15*가정!$B$22</f>
        <v>18.1748333333333</v>
      </c>
      <c r="F14" s="22" t="n">
        <f aca="false">E15*가정!$B$22</f>
        <v>41.2327916666667</v>
      </c>
      <c r="G14" s="22" t="n">
        <f aca="false">F15*가정!$B$22</f>
        <v>69.04659375</v>
      </c>
      <c r="H14" s="22" t="n">
        <f aca="false">G15*가정!$B$22</f>
        <v>92.0939453125</v>
      </c>
      <c r="I14" s="22" t="n">
        <f aca="false">H15*가정!$B$22</f>
        <v>111.566458984375</v>
      </c>
      <c r="J14" s="22" t="n">
        <f aca="false">I15*가정!$B$22</f>
        <v>147.211510904948</v>
      </c>
      <c r="K14" s="22" t="n">
        <f aca="false">J15*가정!$B$22</f>
        <v>178.319299845378</v>
      </c>
      <c r="L14" s="22" t="n">
        <f aca="false">K15*가정!$B$22</f>
        <v>208.2111415507</v>
      </c>
      <c r="M14" s="22" t="n">
        <f aca="false">L15*가정!$B$22</f>
        <v>260.004022829692</v>
      </c>
      <c r="N14" s="22" t="n">
        <f aca="false">M15*가정!$B$22</f>
        <v>303.222683788935</v>
      </c>
      <c r="O14" s="22" t="n">
        <f aca="false">N15*가정!$B$22</f>
        <v>342.197679508368</v>
      </c>
      <c r="P14" s="22" t="n">
        <f aca="false">O15*가정!$B$22</f>
        <v>411.323259631276</v>
      </c>
      <c r="Q14" s="22" t="n">
        <f aca="false">P15*가정!$B$22</f>
        <v>469.728444723457</v>
      </c>
      <c r="R14" s="22" t="n">
        <f aca="false">Q15*가정!$B$22</f>
        <v>520.093333542593</v>
      </c>
      <c r="S14" s="22" t="n">
        <f aca="false">R15*가정!$B$22</f>
        <v>564.428000156945</v>
      </c>
      <c r="T14" s="22" t="n">
        <f aca="false">S15*가정!$B$22</f>
        <v>604.240000117709</v>
      </c>
      <c r="U14" s="22" t="n">
        <f aca="false">T15*가정!$B$22</f>
        <v>640.660000088281</v>
      </c>
      <c r="V14" s="22" t="n">
        <f aca="false">U15*가정!$B$22</f>
        <v>743.389666732878</v>
      </c>
      <c r="W14" s="22" t="n">
        <f aca="false">V15*가정!$B$22</f>
        <v>829.184916716325</v>
      </c>
      <c r="X14" s="22" t="n">
        <f aca="false">W15*가정!$B$22</f>
        <v>902.27935420391</v>
      </c>
      <c r="Y14" s="22" t="n">
        <f aca="false">X15*가정!$B$22</f>
        <v>965.8481823196</v>
      </c>
      <c r="Z14" s="22" t="n">
        <f aca="false">Y15*가정!$B$22</f>
        <v>1022.27280340637</v>
      </c>
      <c r="AA14" s="22" t="n">
        <f aca="false">Z15*가정!$B$22</f>
        <v>1075.52626922144</v>
      </c>
      <c r="AB14" s="22" t="n">
        <f aca="false">AA15*가정!$B$22</f>
        <v>1209.73470191608</v>
      </c>
      <c r="AC14" s="22" t="n">
        <f aca="false">AB15*가정!$B$22</f>
        <v>1321.32602643706</v>
      </c>
      <c r="AD14" s="22" t="n">
        <f aca="false">AC15*가정!$B$22</f>
        <v>1415.9545198278</v>
      </c>
      <c r="AE14" s="22" t="n">
        <f aca="false">AD15*가정!$B$22</f>
        <v>1497.86088987085</v>
      </c>
      <c r="AF14" s="22" t="n">
        <f aca="false">AE15*가정!$B$22</f>
        <v>1570.22566740314</v>
      </c>
      <c r="AG14" s="22" t="n">
        <f aca="false">AF15*가정!$B$22</f>
        <v>1635.43425055235</v>
      </c>
      <c r="AH14" s="22" t="n">
        <f aca="false">AG15*가정!$B$22</f>
        <v>1695.27568791426</v>
      </c>
      <c r="AI14" s="22" t="n">
        <f aca="false">AH15*가정!$B$22</f>
        <v>1751.0917659357</v>
      </c>
      <c r="AJ14" s="22" t="n">
        <f aca="false">AI15*가정!$B$22</f>
        <v>1803.88882445177</v>
      </c>
      <c r="AK14" s="22" t="n">
        <f aca="false">AJ15*가정!$B$22</f>
        <v>1854.42161833883</v>
      </c>
      <c r="AL14" s="22" t="n">
        <f aca="false">AK15*가정!$B$22</f>
        <v>1903.25621375412</v>
      </c>
    </row>
    <row r="15" customFormat="false" ht="15" hidden="false" customHeight="true" outlineLevel="0" collapsed="false">
      <c r="A15" s="4" t="s">
        <v>163</v>
      </c>
      <c r="B15" s="11" t="s">
        <v>155</v>
      </c>
      <c r="C15" s="22" t="n">
        <f aca="false">C13</f>
        <v>17.496</v>
      </c>
      <c r="D15" s="22" t="n">
        <f aca="false">C15+D13-D14</f>
        <v>72.6993333333333</v>
      </c>
      <c r="E15" s="22" t="n">
        <f aca="false">D15+E13-E14</f>
        <v>164.931166666667</v>
      </c>
      <c r="F15" s="22" t="n">
        <f aca="false">E15+F13-F14</f>
        <v>276.186375</v>
      </c>
      <c r="G15" s="22" t="n">
        <f aca="false">F15+G13-G14</f>
        <v>368.37578125</v>
      </c>
      <c r="H15" s="22" t="n">
        <f aca="false">G15+H13-H14</f>
        <v>446.2658359375</v>
      </c>
      <c r="I15" s="22" t="n">
        <f aca="false">H15+I13-I14</f>
        <v>588.846043619792</v>
      </c>
      <c r="J15" s="22" t="n">
        <f aca="false">I15+J13-J14</f>
        <v>713.27719938151</v>
      </c>
      <c r="K15" s="22" t="n">
        <f aca="false">J15+K13-K14</f>
        <v>832.844566202799</v>
      </c>
      <c r="L15" s="22" t="n">
        <f aca="false">K15+L13-L14</f>
        <v>1040.01609131877</v>
      </c>
      <c r="M15" s="22" t="n">
        <f aca="false">L15+M13-M14</f>
        <v>1212.89073515574</v>
      </c>
      <c r="N15" s="22" t="n">
        <f aca="false">M15+N13-N14</f>
        <v>1368.79071803347</v>
      </c>
      <c r="O15" s="22" t="n">
        <f aca="false">N15+O13-O14</f>
        <v>1645.2930385251</v>
      </c>
      <c r="P15" s="22" t="n">
        <f aca="false">O15+P13-P14</f>
        <v>1878.91377889383</v>
      </c>
      <c r="Q15" s="22" t="n">
        <f aca="false">P15+Q13-Q14</f>
        <v>2080.37333417037</v>
      </c>
      <c r="R15" s="22" t="n">
        <f aca="false">Q15+R13-R14</f>
        <v>2257.71200062778</v>
      </c>
      <c r="S15" s="22" t="n">
        <f aca="false">R15+S13-S14</f>
        <v>2416.96000047083</v>
      </c>
      <c r="T15" s="22" t="n">
        <f aca="false">S15+T13-T14</f>
        <v>2562.64000035313</v>
      </c>
      <c r="U15" s="22" t="n">
        <f aca="false">T15+U13-U14</f>
        <v>2973.55866693151</v>
      </c>
      <c r="V15" s="22" t="n">
        <f aca="false">U15+V13-V14</f>
        <v>3316.7396668653</v>
      </c>
      <c r="W15" s="22" t="n">
        <f aca="false">V15+W13-W14</f>
        <v>3609.11741681564</v>
      </c>
      <c r="X15" s="22" t="n">
        <f aca="false">W15+X13-X14</f>
        <v>3863.3927292784</v>
      </c>
      <c r="Y15" s="22" t="n">
        <f aca="false">X15+Y13-Y14</f>
        <v>4089.09121362547</v>
      </c>
      <c r="Z15" s="22" t="n">
        <f aca="false">Y15+Z13-Z14</f>
        <v>4302.10507688577</v>
      </c>
      <c r="AA15" s="22" t="n">
        <f aca="false">Z15+AA13-AA14</f>
        <v>4838.93880766432</v>
      </c>
      <c r="AB15" s="22" t="n">
        <f aca="false">AA15+AB13-AB14</f>
        <v>5285.30410574824</v>
      </c>
      <c r="AC15" s="22" t="n">
        <f aca="false">AB15+AC13-AC14</f>
        <v>5663.81807931118</v>
      </c>
      <c r="AD15" s="22" t="n">
        <f aca="false">AC15+AD13-AD14</f>
        <v>5991.44355948339</v>
      </c>
      <c r="AE15" s="22" t="n">
        <f aca="false">AD15+AE13-AE14</f>
        <v>6280.90266961254</v>
      </c>
      <c r="AF15" s="22" t="n">
        <f aca="false">AE15+AF13-AF14</f>
        <v>6541.73700220941</v>
      </c>
      <c r="AG15" s="22" t="n">
        <f aca="false">AF15+AG13-AG14</f>
        <v>6781.10275165705</v>
      </c>
      <c r="AH15" s="22" t="n">
        <f aca="false">AG15+AH13-AH14</f>
        <v>7004.36706374279</v>
      </c>
      <c r="AI15" s="22" t="n">
        <f aca="false">AH15+AI13-AI14</f>
        <v>7215.55529780709</v>
      </c>
      <c r="AJ15" s="22" t="n">
        <f aca="false">AI15+AJ13-AJ14</f>
        <v>7417.68647335532</v>
      </c>
      <c r="AK15" s="22" t="n">
        <f aca="false">AJ15+AK13-AK14</f>
        <v>7613.02485501649</v>
      </c>
      <c r="AL15" s="22" t="n">
        <f aca="false">AK15+AL13-AL14</f>
        <v>7803.26864126237</v>
      </c>
    </row>
    <row r="16" customFormat="false" ht="15" hidden="false" customHeight="true" outlineLevel="0" collapsed="false">
      <c r="A16" s="9" t="s">
        <v>164</v>
      </c>
      <c r="B16" s="11" t="s">
        <v>155</v>
      </c>
      <c r="C16" s="22" t="n">
        <f aca="false">C13*가정!$B$13</f>
        <v>0</v>
      </c>
      <c r="D16" s="22" t="n">
        <f aca="false">D13*가정!$B$13</f>
        <v>0</v>
      </c>
      <c r="E16" s="22" t="n">
        <f aca="false">E13*가정!$B$13</f>
        <v>0</v>
      </c>
      <c r="F16" s="22" t="n">
        <f aca="false">F13*가정!$B$13</f>
        <v>0</v>
      </c>
      <c r="G16" s="22" t="n">
        <f aca="false">G13*가정!$B$13</f>
        <v>0</v>
      </c>
      <c r="H16" s="22" t="n">
        <f aca="false">H13*가정!$B$13</f>
        <v>0</v>
      </c>
      <c r="I16" s="22" t="n">
        <f aca="false">I13*가정!$B$13</f>
        <v>0</v>
      </c>
      <c r="J16" s="22" t="n">
        <f aca="false">J13*가정!$B$13</f>
        <v>0</v>
      </c>
      <c r="K16" s="22" t="n">
        <f aca="false">K13*가정!$B$13</f>
        <v>0</v>
      </c>
      <c r="L16" s="22" t="n">
        <f aca="false">L13*가정!$B$13</f>
        <v>0</v>
      </c>
      <c r="M16" s="22" t="n">
        <f aca="false">M13*가정!$B$13</f>
        <v>0</v>
      </c>
      <c r="N16" s="22" t="n">
        <f aca="false">N13*가정!$B$13</f>
        <v>0</v>
      </c>
      <c r="O16" s="22" t="n">
        <f aca="false">O13*가정!$B$13</f>
        <v>0</v>
      </c>
      <c r="P16" s="22" t="n">
        <f aca="false">P13*가정!$B$13</f>
        <v>0</v>
      </c>
      <c r="Q16" s="22" t="n">
        <f aca="false">Q13*가정!$B$13</f>
        <v>0</v>
      </c>
      <c r="R16" s="22" t="n">
        <f aca="false">R13*가정!$B$13</f>
        <v>0</v>
      </c>
      <c r="S16" s="22" t="n">
        <f aca="false">S13*가정!$B$13</f>
        <v>0</v>
      </c>
      <c r="T16" s="22" t="n">
        <f aca="false">T13*가정!$B$13</f>
        <v>0</v>
      </c>
      <c r="U16" s="22" t="n">
        <f aca="false">U13*가정!$B$13</f>
        <v>0</v>
      </c>
      <c r="V16" s="22" t="n">
        <f aca="false">V13*가정!$B$13</f>
        <v>0</v>
      </c>
      <c r="W16" s="22" t="n">
        <f aca="false">W13*가정!$B$13</f>
        <v>0</v>
      </c>
      <c r="X16" s="22" t="n">
        <f aca="false">X13*가정!$B$13</f>
        <v>0</v>
      </c>
      <c r="Y16" s="22" t="n">
        <f aca="false">Y13*가정!$B$13</f>
        <v>0</v>
      </c>
      <c r="Z16" s="22" t="n">
        <f aca="false">Z13*가정!$B$13</f>
        <v>0</v>
      </c>
      <c r="AA16" s="22" t="n">
        <f aca="false">AA13*가정!$B$13</f>
        <v>0</v>
      </c>
      <c r="AB16" s="22" t="n">
        <f aca="false">AB13*가정!$B$13</f>
        <v>0</v>
      </c>
      <c r="AC16" s="22" t="n">
        <f aca="false">AC13*가정!$B$13</f>
        <v>0</v>
      </c>
      <c r="AD16" s="22" t="n">
        <f aca="false">AD13*가정!$B$13</f>
        <v>0</v>
      </c>
      <c r="AE16" s="22" t="n">
        <f aca="false">AE13*가정!$B$13</f>
        <v>0</v>
      </c>
      <c r="AF16" s="22" t="n">
        <f aca="false">AF13*가정!$B$13</f>
        <v>0</v>
      </c>
      <c r="AG16" s="22" t="n">
        <f aca="false">AG13*가정!$B$13</f>
        <v>0</v>
      </c>
      <c r="AH16" s="22" t="n">
        <f aca="false">AH13*가정!$B$13</f>
        <v>0</v>
      </c>
      <c r="AI16" s="22" t="n">
        <f aca="false">AI13*가정!$B$13</f>
        <v>0</v>
      </c>
      <c r="AJ16" s="22" t="n">
        <f aca="false">AJ13*가정!$B$13</f>
        <v>0</v>
      </c>
      <c r="AK16" s="22" t="n">
        <f aca="false">AK13*가정!$B$13</f>
        <v>0</v>
      </c>
      <c r="AL16" s="22" t="n">
        <f aca="false">AL13*가정!$B$13</f>
        <v>0</v>
      </c>
    </row>
    <row r="17" customFormat="false" ht="15" hidden="false" customHeight="true" outlineLevel="0" collapsed="false">
      <c r="A17" s="9" t="s">
        <v>165</v>
      </c>
      <c r="B17" s="11" t="s">
        <v>155</v>
      </c>
      <c r="C17" s="22" t="n">
        <f aca="false">SUM(C16:C16)</f>
        <v>0</v>
      </c>
      <c r="D17" s="22" t="n">
        <f aca="false">SUM(C16:D16)</f>
        <v>0</v>
      </c>
      <c r="E17" s="22" t="n">
        <f aca="false">SUM(C16:E16)</f>
        <v>0</v>
      </c>
      <c r="F17" s="22" t="n">
        <f aca="false">SUM(C16:F16)</f>
        <v>0</v>
      </c>
      <c r="G17" s="22" t="n">
        <f aca="false">SUM(C16:G16)</f>
        <v>0</v>
      </c>
      <c r="H17" s="22" t="n">
        <f aca="false">SUM(C16:H16)</f>
        <v>0</v>
      </c>
      <c r="I17" s="22" t="n">
        <f aca="false">SUM(C16:I16)</f>
        <v>0</v>
      </c>
      <c r="J17" s="22" t="n">
        <f aca="false">SUM(C16:J16)</f>
        <v>0</v>
      </c>
      <c r="K17" s="22" t="n">
        <f aca="false">SUM(C16:K16)</f>
        <v>0</v>
      </c>
      <c r="L17" s="22" t="n">
        <f aca="false">SUM(C16:L16)</f>
        <v>0</v>
      </c>
      <c r="M17" s="22" t="n">
        <f aca="false">SUM(C16:M16)</f>
        <v>0</v>
      </c>
      <c r="N17" s="22" t="n">
        <f aca="false">SUM(C16:N16)</f>
        <v>0</v>
      </c>
      <c r="O17" s="22" t="n">
        <f aca="false">SUM(D16:O16)</f>
        <v>0</v>
      </c>
      <c r="P17" s="22" t="n">
        <f aca="false">SUM(E16:P16)</f>
        <v>0</v>
      </c>
      <c r="Q17" s="22" t="n">
        <f aca="false">SUM(F16:Q16)</f>
        <v>0</v>
      </c>
      <c r="R17" s="22" t="n">
        <f aca="false">SUM(G16:R16)</f>
        <v>0</v>
      </c>
      <c r="S17" s="22" t="n">
        <f aca="false">SUM(H16:S16)</f>
        <v>0</v>
      </c>
      <c r="T17" s="22" t="n">
        <f aca="false">SUM(I16:T16)</f>
        <v>0</v>
      </c>
      <c r="U17" s="22" t="n">
        <f aca="false">SUM(J16:U16)</f>
        <v>0</v>
      </c>
      <c r="V17" s="22" t="n">
        <f aca="false">SUM(K16:V16)</f>
        <v>0</v>
      </c>
      <c r="W17" s="22" t="n">
        <f aca="false">SUM(L16:W16)</f>
        <v>0</v>
      </c>
      <c r="X17" s="22" t="n">
        <f aca="false">SUM(M16:X16)</f>
        <v>0</v>
      </c>
      <c r="Y17" s="22" t="n">
        <f aca="false">SUM(N16:Y16)</f>
        <v>0</v>
      </c>
      <c r="Z17" s="22" t="n">
        <f aca="false">SUM(O16:Z16)</f>
        <v>0</v>
      </c>
      <c r="AA17" s="22" t="n">
        <f aca="false">SUM(P16:AA16)</f>
        <v>0</v>
      </c>
      <c r="AB17" s="22" t="n">
        <f aca="false">SUM(Q16:AB16)</f>
        <v>0</v>
      </c>
      <c r="AC17" s="22" t="n">
        <f aca="false">SUM(R16:AC16)</f>
        <v>0</v>
      </c>
      <c r="AD17" s="22" t="n">
        <f aca="false">SUM(S16:AD16)</f>
        <v>0</v>
      </c>
      <c r="AE17" s="22" t="n">
        <f aca="false">SUM(T16:AE16)</f>
        <v>0</v>
      </c>
      <c r="AF17" s="22" t="n">
        <f aca="false">SUM(U16:AF16)</f>
        <v>0</v>
      </c>
      <c r="AG17" s="22" t="n">
        <f aca="false">SUM(V16:AG16)</f>
        <v>0</v>
      </c>
      <c r="AH17" s="22" t="n">
        <f aca="false">SUM(W16:AH16)</f>
        <v>0</v>
      </c>
      <c r="AI17" s="22" t="n">
        <f aca="false">SUM(X16:AI16)</f>
        <v>0</v>
      </c>
      <c r="AJ17" s="22" t="n">
        <f aca="false">SUM(Y16:AJ16)</f>
        <v>0</v>
      </c>
      <c r="AK17" s="22" t="n">
        <f aca="false">SUM(Z16:AK16)</f>
        <v>0</v>
      </c>
      <c r="AL17" s="22" t="n">
        <f aca="false">SUM(AA16:AL16)</f>
        <v>0</v>
      </c>
    </row>
    <row r="18" customFormat="false" ht="15" hidden="false" customHeight="true" outlineLevel="0" collapsed="false">
      <c r="A18" s="9" t="s">
        <v>166</v>
      </c>
      <c r="B18" s="11" t="s">
        <v>155</v>
      </c>
      <c r="C18" s="22" t="n">
        <f aca="false">C15-C17</f>
        <v>17.496</v>
      </c>
      <c r="D18" s="22" t="n">
        <f aca="false">D15-D17</f>
        <v>72.6993333333333</v>
      </c>
      <c r="E18" s="22" t="n">
        <f aca="false">E15-E17</f>
        <v>164.931166666667</v>
      </c>
      <c r="F18" s="22" t="n">
        <f aca="false">F15-F17</f>
        <v>276.186375</v>
      </c>
      <c r="G18" s="22" t="n">
        <f aca="false">G15-G17</f>
        <v>368.37578125</v>
      </c>
      <c r="H18" s="22" t="n">
        <f aca="false">H15-H17</f>
        <v>446.2658359375</v>
      </c>
      <c r="I18" s="22" t="n">
        <f aca="false">I15-I17</f>
        <v>588.846043619792</v>
      </c>
      <c r="J18" s="22" t="n">
        <f aca="false">J15-J17</f>
        <v>713.27719938151</v>
      </c>
      <c r="K18" s="22" t="n">
        <f aca="false">K15-K17</f>
        <v>832.844566202799</v>
      </c>
      <c r="L18" s="22" t="n">
        <f aca="false">L15-L17</f>
        <v>1040.01609131877</v>
      </c>
      <c r="M18" s="22" t="n">
        <f aca="false">M15-M17</f>
        <v>1212.89073515574</v>
      </c>
      <c r="N18" s="22" t="n">
        <f aca="false">N15-N17</f>
        <v>1368.79071803347</v>
      </c>
      <c r="O18" s="22" t="n">
        <f aca="false">O15-O17</f>
        <v>1645.2930385251</v>
      </c>
      <c r="P18" s="22" t="n">
        <f aca="false">P15-P17</f>
        <v>1878.91377889383</v>
      </c>
      <c r="Q18" s="22" t="n">
        <f aca="false">Q15-Q17</f>
        <v>2080.37333417037</v>
      </c>
      <c r="R18" s="22" t="n">
        <f aca="false">R15-R17</f>
        <v>2257.71200062778</v>
      </c>
      <c r="S18" s="22" t="n">
        <f aca="false">S15-S17</f>
        <v>2416.96000047083</v>
      </c>
      <c r="T18" s="22" t="n">
        <f aca="false">T15-T17</f>
        <v>2562.64000035313</v>
      </c>
      <c r="U18" s="22" t="n">
        <f aca="false">U15-U17</f>
        <v>2973.55866693151</v>
      </c>
      <c r="V18" s="22" t="n">
        <f aca="false">V15-V17</f>
        <v>3316.7396668653</v>
      </c>
      <c r="W18" s="22" t="n">
        <f aca="false">W15-W17</f>
        <v>3609.11741681564</v>
      </c>
      <c r="X18" s="22" t="n">
        <f aca="false">X15-X17</f>
        <v>3863.3927292784</v>
      </c>
      <c r="Y18" s="22" t="n">
        <f aca="false">Y15-Y17</f>
        <v>4089.09121362547</v>
      </c>
      <c r="Z18" s="22" t="n">
        <f aca="false">Z15-Z17</f>
        <v>4302.10507688577</v>
      </c>
      <c r="AA18" s="22" t="n">
        <f aca="false">AA15-AA17</f>
        <v>4838.93880766432</v>
      </c>
      <c r="AB18" s="22" t="n">
        <f aca="false">AB15-AB17</f>
        <v>5285.30410574824</v>
      </c>
      <c r="AC18" s="22" t="n">
        <f aca="false">AC15-AC17</f>
        <v>5663.81807931118</v>
      </c>
      <c r="AD18" s="22" t="n">
        <f aca="false">AD15-AD17</f>
        <v>5991.44355948339</v>
      </c>
      <c r="AE18" s="22" t="n">
        <f aca="false">AE15-AE17</f>
        <v>6280.90266961254</v>
      </c>
      <c r="AF18" s="22" t="n">
        <f aca="false">AF15-AF17</f>
        <v>6541.73700220941</v>
      </c>
      <c r="AG18" s="22" t="n">
        <f aca="false">AG15-AG17</f>
        <v>6781.10275165705</v>
      </c>
      <c r="AH18" s="22" t="n">
        <f aca="false">AH15-AH17</f>
        <v>7004.36706374279</v>
      </c>
      <c r="AI18" s="22" t="n">
        <f aca="false">AI15-AI17</f>
        <v>7215.55529780709</v>
      </c>
      <c r="AJ18" s="22" t="n">
        <f aca="false">AJ15-AJ17</f>
        <v>7417.68647335532</v>
      </c>
      <c r="AK18" s="22" t="n">
        <f aca="false">AK15-AK17</f>
        <v>7613.02485501649</v>
      </c>
      <c r="AL18" s="22" t="n">
        <f aca="false">AL15-AL17</f>
        <v>7803.26864126237</v>
      </c>
    </row>
    <row r="19" customFormat="false" ht="15" hidden="false" customHeight="true" outlineLevel="0" collapsed="false">
      <c r="A19" s="9" t="s">
        <v>167</v>
      </c>
      <c r="B19" s="13" t="s">
        <v>159</v>
      </c>
      <c r="C19" s="22" t="n">
        <f aca="false">IF(C3&lt;=가정!$B$9,가정!$B$7,가정!$B$8*(1-가정!$B$10))</f>
        <v>19000</v>
      </c>
      <c r="D19" s="22" t="n">
        <f aca="false">IF(D3&lt;=가정!$B$9,가정!$B$7,가정!$B$8*(1-가정!$B$10))</f>
        <v>19000</v>
      </c>
      <c r="E19" s="22" t="n">
        <f aca="false">IF(E3&lt;=가정!$B$9,가정!$B$7,가정!$B$8*(1-가정!$B$10))</f>
        <v>19000</v>
      </c>
      <c r="F19" s="22" t="n">
        <f aca="false">IF(F3&lt;=가정!$B$9,가정!$B$7,가정!$B$8*(1-가정!$B$10))</f>
        <v>19000</v>
      </c>
      <c r="G19" s="22" t="n">
        <f aca="false">IF(G3&lt;=가정!$B$9,가정!$B$7,가정!$B$8*(1-가정!$B$10))</f>
        <v>19000</v>
      </c>
      <c r="H19" s="22" t="n">
        <f aca="false">IF(H3&lt;=가정!$B$9,가정!$B$7,가정!$B$8*(1-가정!$B$10))</f>
        <v>19000</v>
      </c>
      <c r="I19" s="22" t="n">
        <f aca="false">IF(I3&lt;=가정!$B$9,가정!$B$7,가정!$B$8*(1-가정!$B$10))</f>
        <v>23000</v>
      </c>
      <c r="J19" s="22" t="n">
        <f aca="false">IF(J3&lt;=가정!$B$9,가정!$B$7,가정!$B$8*(1-가정!$B$10))</f>
        <v>23000</v>
      </c>
      <c r="K19" s="22" t="n">
        <f aca="false">IF(K3&lt;=가정!$B$9,가정!$B$7,가정!$B$8*(1-가정!$B$10))</f>
        <v>23000</v>
      </c>
      <c r="L19" s="22" t="n">
        <f aca="false">IF(L3&lt;=가정!$B$9,가정!$B$7,가정!$B$8*(1-가정!$B$10))</f>
        <v>23000</v>
      </c>
      <c r="M19" s="22" t="n">
        <f aca="false">IF(M3&lt;=가정!$B$9,가정!$B$7,가정!$B$8*(1-가정!$B$10))</f>
        <v>23000</v>
      </c>
      <c r="N19" s="22" t="n">
        <f aca="false">IF(N3&lt;=가정!$B$9,가정!$B$7,가정!$B$8*(1-가정!$B$10))</f>
        <v>23000</v>
      </c>
      <c r="O19" s="22" t="n">
        <f aca="false">IF(O3&lt;=가정!$B$9,가정!$B$7,가정!$B$8*(1-가정!$B$10))</f>
        <v>23000</v>
      </c>
      <c r="P19" s="22" t="n">
        <f aca="false">IF(P3&lt;=가정!$B$9,가정!$B$7,가정!$B$8*(1-가정!$B$10))</f>
        <v>23000</v>
      </c>
      <c r="Q19" s="22" t="n">
        <f aca="false">IF(Q3&lt;=가정!$B$9,가정!$B$7,가정!$B$8*(1-가정!$B$10))</f>
        <v>23000</v>
      </c>
      <c r="R19" s="22" t="n">
        <f aca="false">IF(R3&lt;=가정!$B$9,가정!$B$7,가정!$B$8*(1-가정!$B$10))</f>
        <v>23000</v>
      </c>
      <c r="S19" s="22" t="n">
        <f aca="false">IF(S3&lt;=가정!$B$9,가정!$B$7,가정!$B$8*(1-가정!$B$10))</f>
        <v>23000</v>
      </c>
      <c r="T19" s="22" t="n">
        <f aca="false">IF(T3&lt;=가정!$B$9,가정!$B$7,가정!$B$8*(1-가정!$B$10))</f>
        <v>23000</v>
      </c>
      <c r="U19" s="22" t="n">
        <f aca="false">IF(U3&lt;=가정!$B$9,가정!$B$7,가정!$B$8*(1-가정!$B$10))</f>
        <v>23000</v>
      </c>
      <c r="V19" s="22" t="n">
        <f aca="false">IF(V3&lt;=가정!$B$9,가정!$B$7,가정!$B$8*(1-가정!$B$10))</f>
        <v>23000</v>
      </c>
      <c r="W19" s="22" t="n">
        <f aca="false">IF(W3&lt;=가정!$B$9,가정!$B$7,가정!$B$8*(1-가정!$B$10))</f>
        <v>23000</v>
      </c>
      <c r="X19" s="22" t="n">
        <f aca="false">IF(X3&lt;=가정!$B$9,가정!$B$7,가정!$B$8*(1-가정!$B$10))</f>
        <v>23000</v>
      </c>
      <c r="Y19" s="22" t="n">
        <f aca="false">IF(Y3&lt;=가정!$B$9,가정!$B$7,가정!$B$8*(1-가정!$B$10))</f>
        <v>23000</v>
      </c>
      <c r="Z19" s="22" t="n">
        <f aca="false">IF(Z3&lt;=가정!$B$9,가정!$B$7,가정!$B$8*(1-가정!$B$10))</f>
        <v>23000</v>
      </c>
      <c r="AA19" s="22" t="n">
        <f aca="false">IF(AA3&lt;=가정!$B$9,가정!$B$7,가정!$B$8*(1-가정!$B$10))</f>
        <v>23000</v>
      </c>
      <c r="AB19" s="22" t="n">
        <f aca="false">IF(AB3&lt;=가정!$B$9,가정!$B$7,가정!$B$8*(1-가정!$B$10))</f>
        <v>23000</v>
      </c>
      <c r="AC19" s="22" t="n">
        <f aca="false">IF(AC3&lt;=가정!$B$9,가정!$B$7,가정!$B$8*(1-가정!$B$10))</f>
        <v>23000</v>
      </c>
      <c r="AD19" s="22" t="n">
        <f aca="false">IF(AD3&lt;=가정!$B$9,가정!$B$7,가정!$B$8*(1-가정!$B$10))</f>
        <v>23000</v>
      </c>
      <c r="AE19" s="22" t="n">
        <f aca="false">IF(AE3&lt;=가정!$B$9,가정!$B$7,가정!$B$8*(1-가정!$B$10))</f>
        <v>23000</v>
      </c>
      <c r="AF19" s="22" t="n">
        <f aca="false">IF(AF3&lt;=가정!$B$9,가정!$B$7,가정!$B$8*(1-가정!$B$10))</f>
        <v>23000</v>
      </c>
      <c r="AG19" s="22" t="n">
        <f aca="false">IF(AG3&lt;=가정!$B$9,가정!$B$7,가정!$B$8*(1-가정!$B$10))</f>
        <v>23000</v>
      </c>
      <c r="AH19" s="22" t="n">
        <f aca="false">IF(AH3&lt;=가정!$B$9,가정!$B$7,가정!$B$8*(1-가정!$B$10))</f>
        <v>23000</v>
      </c>
      <c r="AI19" s="22" t="n">
        <f aca="false">IF(AI3&lt;=가정!$B$9,가정!$B$7,가정!$B$8*(1-가정!$B$10))</f>
        <v>23000</v>
      </c>
      <c r="AJ19" s="22" t="n">
        <f aca="false">IF(AJ3&lt;=가정!$B$9,가정!$B$7,가정!$B$8*(1-가정!$B$10))</f>
        <v>23000</v>
      </c>
      <c r="AK19" s="22" t="n">
        <f aca="false">IF(AK3&lt;=가정!$B$9,가정!$B$7,가정!$B$8*(1-가정!$B$10))</f>
        <v>23000</v>
      </c>
      <c r="AL19" s="22" t="n">
        <f aca="false">IF(AL3&lt;=가정!$B$9,가정!$B$7,가정!$B$8*(1-가정!$B$10))</f>
        <v>23000</v>
      </c>
    </row>
    <row r="20" customFormat="false" ht="15" hidden="false" customHeight="true" outlineLevel="0" collapsed="false">
      <c r="A20" s="9" t="s">
        <v>168</v>
      </c>
      <c r="B20" s="13" t="s">
        <v>159</v>
      </c>
      <c r="C20" s="22" t="n">
        <f aca="false">C15*가정!$B$11*가정!$B$12</f>
        <v>12247.2</v>
      </c>
      <c r="D20" s="22" t="n">
        <f aca="false">D15*가정!$B$11*가정!$B$12</f>
        <v>50889.5333333333</v>
      </c>
      <c r="E20" s="22" t="n">
        <f aca="false">E15*가정!$B$11*가정!$B$12</f>
        <v>115451.816666667</v>
      </c>
      <c r="F20" s="22" t="n">
        <f aca="false">F15*가정!$B$11*가정!$B$12</f>
        <v>193330.4625</v>
      </c>
      <c r="G20" s="22" t="n">
        <f aca="false">G15*가정!$B$11*가정!$B$12</f>
        <v>257863.046875</v>
      </c>
      <c r="H20" s="22" t="n">
        <f aca="false">H15*가정!$B$11*가정!$B$12</f>
        <v>312386.08515625</v>
      </c>
      <c r="I20" s="22" t="n">
        <f aca="false">I15*가정!$B$11*가정!$B$12</f>
        <v>412192.230533854</v>
      </c>
      <c r="J20" s="22" t="n">
        <f aca="false">J15*가정!$B$11*가정!$B$12</f>
        <v>499294.039567057</v>
      </c>
      <c r="K20" s="22" t="n">
        <f aca="false">K15*가정!$B$11*가정!$B$12</f>
        <v>582991.19634196</v>
      </c>
      <c r="L20" s="22" t="n">
        <f aca="false">L15*가정!$B$11*가정!$B$12</f>
        <v>728011.263923136</v>
      </c>
      <c r="M20" s="22" t="n">
        <f aca="false">M15*가정!$B$11*가정!$B$12</f>
        <v>849023.514609019</v>
      </c>
      <c r="N20" s="22" t="n">
        <f aca="false">N15*가정!$B$11*가정!$B$12</f>
        <v>958153.502623431</v>
      </c>
      <c r="O20" s="22" t="n">
        <f aca="false">O15*가정!$B$11*가정!$B$12</f>
        <v>1151705.12696757</v>
      </c>
      <c r="P20" s="22" t="n">
        <f aca="false">P15*가정!$B$11*가정!$B$12</f>
        <v>1315239.64522568</v>
      </c>
      <c r="Q20" s="22" t="n">
        <f aca="false">Q15*가정!$B$11*가정!$B$12</f>
        <v>1456261.33391926</v>
      </c>
      <c r="R20" s="22" t="n">
        <f aca="false">R15*가정!$B$11*가정!$B$12</f>
        <v>1580398.40043945</v>
      </c>
      <c r="S20" s="22" t="n">
        <f aca="false">S15*가정!$B$11*가정!$B$12</f>
        <v>1691872.00032958</v>
      </c>
      <c r="T20" s="22" t="n">
        <f aca="false">T15*가정!$B$11*가정!$B$12</f>
        <v>1793848.00024719</v>
      </c>
      <c r="U20" s="22" t="n">
        <f aca="false">U15*가정!$B$11*가정!$B$12</f>
        <v>2081491.06685206</v>
      </c>
      <c r="V20" s="22" t="n">
        <f aca="false">V15*가정!$B$11*가정!$B$12</f>
        <v>2321717.76680571</v>
      </c>
      <c r="W20" s="22" t="n">
        <f aca="false">W15*가정!$B$11*가정!$B$12</f>
        <v>2526382.19177095</v>
      </c>
      <c r="X20" s="22" t="n">
        <f aca="false">X15*가정!$B$11*가정!$B$12</f>
        <v>2704374.91049488</v>
      </c>
      <c r="Y20" s="22" t="n">
        <f aca="false">Y15*가정!$B$11*가정!$B$12</f>
        <v>2862363.84953783</v>
      </c>
      <c r="Z20" s="22" t="n">
        <f aca="false">Z15*가정!$B$11*가정!$B$12</f>
        <v>3011473.55382004</v>
      </c>
      <c r="AA20" s="22" t="n">
        <f aca="false">AA15*가정!$B$11*가정!$B$12</f>
        <v>3387257.16536503</v>
      </c>
      <c r="AB20" s="22" t="n">
        <f aca="false">AB15*가정!$B$11*가정!$B$12</f>
        <v>3699712.87402377</v>
      </c>
      <c r="AC20" s="22" t="n">
        <f aca="false">AC15*가정!$B$11*가정!$B$12</f>
        <v>3964672.65551783</v>
      </c>
      <c r="AD20" s="22" t="n">
        <f aca="false">AD15*가정!$B$11*가정!$B$12</f>
        <v>4194010.49163837</v>
      </c>
      <c r="AE20" s="22" t="n">
        <f aca="false">AE15*가정!$B$11*가정!$B$12</f>
        <v>4396631.86872878</v>
      </c>
      <c r="AF20" s="22" t="n">
        <f aca="false">AF15*가정!$B$11*가정!$B$12</f>
        <v>4579215.90154658</v>
      </c>
      <c r="AG20" s="22" t="n">
        <f aca="false">AG15*가정!$B$11*가정!$B$12</f>
        <v>4746771.92615994</v>
      </c>
      <c r="AH20" s="22" t="n">
        <f aca="false">AH15*가정!$B$11*가정!$B$12</f>
        <v>4903056.94461996</v>
      </c>
      <c r="AI20" s="22" t="n">
        <f aca="false">AI15*가정!$B$11*가정!$B$12</f>
        <v>5050888.70846497</v>
      </c>
      <c r="AJ20" s="22" t="n">
        <f aca="false">AJ15*가정!$B$11*가정!$B$12</f>
        <v>5192380.53134873</v>
      </c>
      <c r="AK20" s="22" t="n">
        <f aca="false">AK15*가정!$B$11*가정!$B$12</f>
        <v>5329117.39851154</v>
      </c>
      <c r="AL20" s="22" t="n">
        <f aca="false">AL15*가정!$B$11*가정!$B$12</f>
        <v>5462288.04888366</v>
      </c>
    </row>
    <row r="21" customFormat="false" ht="15" hidden="false" customHeight="true" outlineLevel="0" collapsed="false">
      <c r="A21" s="17" t="s">
        <v>169</v>
      </c>
      <c r="B21" s="13" t="s">
        <v>159</v>
      </c>
      <c r="C21" s="22" t="n">
        <f aca="false">C18*C19+C17*가정!$B$14/12+C20</f>
        <v>344671.2</v>
      </c>
      <c r="D21" s="22" t="n">
        <f aca="false">D18*D19+D17*가정!$B$14/12+D20</f>
        <v>1432176.86666667</v>
      </c>
      <c r="E21" s="22" t="n">
        <f aca="false">E18*E19+E17*가정!$B$14/12+E20</f>
        <v>3249143.98333333</v>
      </c>
      <c r="F21" s="22" t="n">
        <f aca="false">F18*F19+F17*가정!$B$14/12+F20</f>
        <v>5440871.5875</v>
      </c>
      <c r="G21" s="22" t="n">
        <f aca="false">G18*G19+G17*가정!$B$14/12+G20</f>
        <v>7257002.890625</v>
      </c>
      <c r="H21" s="22" t="n">
        <f aca="false">H18*H19+H17*가정!$B$14/12+H20</f>
        <v>8791436.96796875</v>
      </c>
      <c r="I21" s="22" t="n">
        <f aca="false">I18*I19+I17*가정!$B$14/12+I20</f>
        <v>13955651.2337891</v>
      </c>
      <c r="J21" s="22" t="n">
        <f aca="false">J18*J19+J17*가정!$B$14/12+J20</f>
        <v>16904669.6253418</v>
      </c>
      <c r="K21" s="22" t="n">
        <f aca="false">K18*K19+K17*가정!$B$14/12+K20</f>
        <v>19738416.2190063</v>
      </c>
      <c r="L21" s="22" t="n">
        <f aca="false">L18*L19+L17*가정!$B$14/12+L20</f>
        <v>24648381.3642548</v>
      </c>
      <c r="M21" s="22" t="n">
        <f aca="false">M18*M19+M17*가정!$B$14/12+M20</f>
        <v>28745510.4231911</v>
      </c>
      <c r="N21" s="22" t="n">
        <f aca="false">N18*N19+N17*가정!$B$14/12+N20</f>
        <v>32440340.0173933</v>
      </c>
      <c r="O21" s="22" t="n">
        <f aca="false">O18*O19+O17*가정!$B$14/12+O20</f>
        <v>38993445.013045</v>
      </c>
      <c r="P21" s="22" t="n">
        <f aca="false">P18*P19+P17*가정!$B$14/12+P20</f>
        <v>44530256.5597837</v>
      </c>
      <c r="Q21" s="22" t="n">
        <f aca="false">Q18*Q19+Q17*가정!$B$14/12+Q20</f>
        <v>49304848.0198378</v>
      </c>
      <c r="R21" s="22" t="n">
        <f aca="false">R18*R19+R17*가정!$B$14/12+R20</f>
        <v>53507774.4148784</v>
      </c>
      <c r="S21" s="22" t="n">
        <f aca="false">S18*S19+S17*가정!$B$14/12+S20</f>
        <v>57281952.0111588</v>
      </c>
      <c r="T21" s="22" t="n">
        <f aca="false">T18*T19+T17*가정!$B$14/12+T20</f>
        <v>60734568.0083691</v>
      </c>
      <c r="U21" s="22" t="n">
        <f aca="false">U18*U19+U17*가정!$B$14/12+U20</f>
        <v>70473340.4062768</v>
      </c>
      <c r="V21" s="22" t="n">
        <f aca="false">V18*V19+V17*가정!$B$14/12+V20</f>
        <v>78606730.1047076</v>
      </c>
      <c r="W21" s="22" t="n">
        <f aca="false">W18*W19+W17*가정!$B$14/12+W20</f>
        <v>85536082.7785307</v>
      </c>
      <c r="X21" s="22" t="n">
        <f aca="false">X18*X19+X17*가정!$B$14/12+X20</f>
        <v>91562407.683898</v>
      </c>
      <c r="Y21" s="22" t="n">
        <f aca="false">Y18*Y19+Y17*가정!$B$14/12+Y20</f>
        <v>96911461.7629235</v>
      </c>
      <c r="Z21" s="22" t="n">
        <f aca="false">Z18*Z19+Z17*가정!$B$14/12+Z20</f>
        <v>101959890.322193</v>
      </c>
      <c r="AA21" s="22" t="n">
        <f aca="false">AA18*AA19+AA17*가정!$B$14/12+AA20</f>
        <v>114682849.741644</v>
      </c>
      <c r="AB21" s="22" t="n">
        <f aca="false">AB18*AB19+AB17*가정!$B$14/12+AB20</f>
        <v>125261707.306233</v>
      </c>
      <c r="AC21" s="22" t="n">
        <f aca="false">AC18*AC19+AC17*가정!$B$14/12+AC20</f>
        <v>134232488.479675</v>
      </c>
      <c r="AD21" s="22" t="n">
        <f aca="false">AD18*AD19+AD17*가정!$B$14/12+AD20</f>
        <v>141997212.359756</v>
      </c>
      <c r="AE21" s="22" t="n">
        <f aca="false">AE18*AE19+AE17*가정!$B$14/12+AE20</f>
        <v>148857393.269817</v>
      </c>
      <c r="AF21" s="22" t="n">
        <f aca="false">AF18*AF19+AF17*가정!$B$14/12+AF20</f>
        <v>155039166.952363</v>
      </c>
      <c r="AG21" s="22" t="n">
        <f aca="false">AG18*AG19+AG17*가정!$B$14/12+AG20</f>
        <v>160712135.214272</v>
      </c>
      <c r="AH21" s="22" t="n">
        <f aca="false">AH18*AH19+AH17*가정!$B$14/12+AH20</f>
        <v>166003499.410704</v>
      </c>
      <c r="AI21" s="22" t="n">
        <f aca="false">AI18*AI19+AI17*가정!$B$14/12+AI20</f>
        <v>171008660.558028</v>
      </c>
      <c r="AJ21" s="22" t="n">
        <f aca="false">AJ18*AJ19+AJ17*가정!$B$14/12+AJ20</f>
        <v>175799169.418521</v>
      </c>
      <c r="AK21" s="22" t="n">
        <f aca="false">AK18*AK19+AK17*가정!$B$14/12+AK20</f>
        <v>180428689.063891</v>
      </c>
      <c r="AL21" s="22" t="n">
        <f aca="false">AL18*AL19+AL17*가정!$B$14/12+AL20</f>
        <v>184937466.797918</v>
      </c>
    </row>
    <row r="22" customFormat="false" ht="15" hidden="false" customHeight="true" outlineLevel="0" collapsed="false">
      <c r="A22" s="27" t="s">
        <v>170</v>
      </c>
      <c r="B22" s="13" t="s">
        <v>159</v>
      </c>
      <c r="C22" s="22" t="n">
        <f aca="false">C21/(1+가정!$B$40)</f>
        <v>313337.454545455</v>
      </c>
      <c r="D22" s="22" t="n">
        <f aca="false">D21/(1+가정!$B$40)</f>
        <v>1301978.96969697</v>
      </c>
      <c r="E22" s="22" t="n">
        <f aca="false">E21/(1+가정!$B$40)</f>
        <v>2953767.25757576</v>
      </c>
      <c r="F22" s="22" t="n">
        <f aca="false">F21/(1+가정!$B$40)</f>
        <v>4946246.89772727</v>
      </c>
      <c r="G22" s="22" t="n">
        <f aca="false">G21/(1+가정!$B$40)</f>
        <v>6597275.35511364</v>
      </c>
      <c r="H22" s="22" t="n">
        <f aca="false">H21/(1+가정!$B$40)</f>
        <v>7992215.42542614</v>
      </c>
      <c r="I22" s="22" t="n">
        <f aca="false">I21/(1+가정!$B$40)</f>
        <v>12686955.667081</v>
      </c>
      <c r="J22" s="22" t="n">
        <f aca="false">J21/(1+가정!$B$40)</f>
        <v>15367881.4775835</v>
      </c>
      <c r="K22" s="22" t="n">
        <f aca="false">K21/(1+가정!$B$40)</f>
        <v>17944014.7445512</v>
      </c>
      <c r="L22" s="22" t="n">
        <f aca="false">L21/(1+가정!$B$40)</f>
        <v>22407619.4220498</v>
      </c>
      <c r="M22" s="22" t="n">
        <f aca="false">M21/(1+가정!$B$40)</f>
        <v>26132282.202901</v>
      </c>
      <c r="N22" s="22" t="n">
        <f aca="false">N21/(1+가정!$B$40)</f>
        <v>29491218.1976303</v>
      </c>
      <c r="O22" s="22" t="n">
        <f aca="false">O21/(1+가정!$B$40)</f>
        <v>35448586.3754954</v>
      </c>
      <c r="P22" s="22" t="n">
        <f aca="false">P21/(1+가정!$B$40)</f>
        <v>40482051.4179852</v>
      </c>
      <c r="Q22" s="22" t="n">
        <f aca="false">Q21/(1+가정!$B$40)</f>
        <v>44822589.1089435</v>
      </c>
      <c r="R22" s="22" t="n">
        <f aca="false">R21/(1+가정!$B$40)</f>
        <v>48643431.2862531</v>
      </c>
      <c r="S22" s="22" t="n">
        <f aca="false">S21/(1+가정!$B$40)</f>
        <v>52074501.8283261</v>
      </c>
      <c r="T22" s="22" t="n">
        <f aca="false">T21/(1+가정!$B$40)</f>
        <v>55213243.6439719</v>
      </c>
      <c r="U22" s="22" t="n">
        <f aca="false">U21/(1+가정!$B$40)</f>
        <v>64066673.0966153</v>
      </c>
      <c r="V22" s="22" t="n">
        <f aca="false">V21/(1+가정!$B$40)</f>
        <v>71460663.7315524</v>
      </c>
      <c r="W22" s="22" t="n">
        <f aca="false">W21/(1+가정!$B$40)</f>
        <v>77760075.2532097</v>
      </c>
      <c r="X22" s="22" t="n">
        <f aca="false">X21/(1+가정!$B$40)</f>
        <v>83238552.4399073</v>
      </c>
      <c r="Y22" s="22" t="n">
        <f aca="false">Y21/(1+가정!$B$40)</f>
        <v>88101328.875385</v>
      </c>
      <c r="Z22" s="22" t="n">
        <f aca="false">Z21/(1+가정!$B$40)</f>
        <v>92690809.3838115</v>
      </c>
      <c r="AA22" s="22" t="n">
        <f aca="false">AA21/(1+가정!$B$40)</f>
        <v>104257136.128768</v>
      </c>
      <c r="AB22" s="22" t="n">
        <f aca="false">AB21/(1+가정!$B$40)</f>
        <v>113874279.369303</v>
      </c>
      <c r="AC22" s="22" t="n">
        <f aca="false">AC21/(1+가정!$B$40)</f>
        <v>122029534.981523</v>
      </c>
      <c r="AD22" s="22" t="n">
        <f aca="false">AD21/(1+가정!$B$40)</f>
        <v>129088374.872506</v>
      </c>
      <c r="AE22" s="22" t="n">
        <f aca="false">AE21/(1+가정!$B$40)</f>
        <v>135324902.972561</v>
      </c>
      <c r="AF22" s="22" t="n">
        <f aca="false">AF21/(1+가정!$B$40)</f>
        <v>140944697.229421</v>
      </c>
      <c r="AG22" s="22" t="n">
        <f aca="false">AG21/(1+가정!$B$40)</f>
        <v>146101941.103884</v>
      </c>
      <c r="AH22" s="22" t="n">
        <f aca="false">AH21/(1+가정!$B$40)</f>
        <v>150912272.191549</v>
      </c>
      <c r="AI22" s="22" t="n">
        <f aca="false">AI21/(1+가정!$B$40)</f>
        <v>155462418.689116</v>
      </c>
      <c r="AJ22" s="22" t="n">
        <f aca="false">AJ21/(1+가정!$B$40)</f>
        <v>159817426.74411</v>
      </c>
      <c r="AK22" s="22" t="n">
        <f aca="false">AK21/(1+가정!$B$40)</f>
        <v>164026080.967173</v>
      </c>
      <c r="AL22" s="22" t="n">
        <f aca="false">AL21/(1+가정!$B$40)</f>
        <v>168124969.816289</v>
      </c>
    </row>
    <row r="23" customFormat="false" ht="15" hidden="false" customHeight="true" outlineLevel="0" collapsed="false">
      <c r="A23" s="17" t="s">
        <v>171</v>
      </c>
      <c r="B23" s="11" t="s">
        <v>155</v>
      </c>
      <c r="C23" s="22" t="n">
        <f aca="false">C9</f>
        <v>38.88</v>
      </c>
      <c r="D23" s="22" t="n">
        <f aca="false">D9</f>
        <v>58.32</v>
      </c>
      <c r="E23" s="22" t="n">
        <f aca="false">E9</f>
        <v>97.2</v>
      </c>
      <c r="F23" s="22" t="n">
        <f aca="false">F9</f>
        <v>116.64</v>
      </c>
      <c r="G23" s="22" t="n">
        <f aca="false">G9</f>
        <v>136.08</v>
      </c>
      <c r="H23" s="22" t="n">
        <f aca="false">H9</f>
        <v>155.52</v>
      </c>
      <c r="I23" s="22" t="n">
        <f aca="false">I9</f>
        <v>194.4</v>
      </c>
      <c r="J23" s="22" t="n">
        <f aca="false">J9</f>
        <v>233.28</v>
      </c>
      <c r="K23" s="22" t="n">
        <f aca="false">K9</f>
        <v>291.6</v>
      </c>
      <c r="L23" s="22" t="n">
        <f aca="false">L9</f>
        <v>330.48</v>
      </c>
      <c r="M23" s="22" t="n">
        <f aca="false">M9</f>
        <v>369.36</v>
      </c>
      <c r="N23" s="22" t="n">
        <f aca="false">N9</f>
        <v>427.68</v>
      </c>
      <c r="O23" s="22" t="n">
        <f aca="false">O9</f>
        <v>486</v>
      </c>
      <c r="P23" s="22" t="n">
        <f aca="false">P9</f>
        <v>544.32</v>
      </c>
      <c r="Q23" s="22" t="n">
        <f aca="false">Q9</f>
        <v>602.64</v>
      </c>
      <c r="R23" s="22" t="n">
        <f aca="false">R9</f>
        <v>660.96</v>
      </c>
      <c r="S23" s="22" t="n">
        <f aca="false">S9</f>
        <v>719.28</v>
      </c>
      <c r="T23" s="22" t="n">
        <f aca="false">T9</f>
        <v>777.6</v>
      </c>
      <c r="U23" s="22" t="n">
        <f aca="false">U9</f>
        <v>855.36</v>
      </c>
      <c r="V23" s="22" t="n">
        <f aca="false">V9</f>
        <v>933.12</v>
      </c>
      <c r="W23" s="22" t="n">
        <f aca="false">W9</f>
        <v>1010.88</v>
      </c>
      <c r="X23" s="22" t="n">
        <f aca="false">X9</f>
        <v>1088.64</v>
      </c>
      <c r="Y23" s="22" t="n">
        <f aca="false">Y9</f>
        <v>1166.4</v>
      </c>
      <c r="Z23" s="22" t="n">
        <f aca="false">Z9</f>
        <v>1263.6</v>
      </c>
      <c r="AA23" s="22" t="n">
        <f aca="false">AA9</f>
        <v>1360.8</v>
      </c>
      <c r="AB23" s="22" t="n">
        <f aca="false">AB9</f>
        <v>1458</v>
      </c>
      <c r="AC23" s="22" t="n">
        <f aca="false">AC9</f>
        <v>1555.2</v>
      </c>
      <c r="AD23" s="22" t="n">
        <f aca="false">AD9</f>
        <v>1652.4</v>
      </c>
      <c r="AE23" s="22" t="n">
        <f aca="false">AE9</f>
        <v>1749.6</v>
      </c>
      <c r="AF23" s="22" t="n">
        <f aca="false">AF9</f>
        <v>1846.8</v>
      </c>
      <c r="AG23" s="22" t="n">
        <f aca="false">AG9</f>
        <v>1944</v>
      </c>
      <c r="AH23" s="22" t="n">
        <f aca="false">AH9</f>
        <v>2041.2</v>
      </c>
      <c r="AI23" s="22" t="n">
        <f aca="false">AI9</f>
        <v>2138.4</v>
      </c>
      <c r="AJ23" s="22" t="n">
        <f aca="false">AJ9</f>
        <v>2235.6</v>
      </c>
      <c r="AK23" s="22" t="n">
        <f aca="false">AK9</f>
        <v>2332.8</v>
      </c>
      <c r="AL23" s="22" t="n">
        <f aca="false">AL9</f>
        <v>2430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38" min="3" style="1" width="11"/>
  </cols>
  <sheetData>
    <row r="1" customFormat="false" ht="19.5" hidden="false" customHeight="true" outlineLevel="0" collapsed="false">
      <c r="A1" s="24" t="s">
        <v>172</v>
      </c>
    </row>
    <row r="3" customFormat="false" ht="15" hidden="false" customHeight="true" outlineLevel="0" collapsed="false">
      <c r="A3" s="4" t="s">
        <v>111</v>
      </c>
      <c r="C3" s="25" t="n">
        <v>1</v>
      </c>
      <c r="D3" s="25" t="n">
        <v>2</v>
      </c>
      <c r="E3" s="25" t="n">
        <v>3</v>
      </c>
      <c r="F3" s="25" t="n">
        <v>4</v>
      </c>
      <c r="G3" s="25" t="n">
        <v>5</v>
      </c>
      <c r="H3" s="25" t="n">
        <v>6</v>
      </c>
      <c r="I3" s="25" t="n">
        <v>7</v>
      </c>
      <c r="J3" s="25" t="n">
        <v>8</v>
      </c>
      <c r="K3" s="25" t="n">
        <v>9</v>
      </c>
      <c r="L3" s="25" t="n">
        <v>10</v>
      </c>
      <c r="M3" s="25" t="n">
        <v>11</v>
      </c>
      <c r="N3" s="25" t="n">
        <v>12</v>
      </c>
      <c r="O3" s="25" t="n">
        <v>13</v>
      </c>
      <c r="P3" s="25" t="n">
        <v>14</v>
      </c>
      <c r="Q3" s="25" t="n">
        <v>15</v>
      </c>
      <c r="R3" s="25" t="n">
        <v>16</v>
      </c>
      <c r="S3" s="25" t="n">
        <v>17</v>
      </c>
      <c r="T3" s="25" t="n">
        <v>18</v>
      </c>
      <c r="U3" s="25" t="n">
        <v>19</v>
      </c>
      <c r="V3" s="25" t="n">
        <v>20</v>
      </c>
      <c r="W3" s="25" t="n">
        <v>21</v>
      </c>
      <c r="X3" s="25" t="n">
        <v>22</v>
      </c>
      <c r="Y3" s="25" t="n">
        <v>23</v>
      </c>
      <c r="Z3" s="25" t="n">
        <v>24</v>
      </c>
      <c r="AA3" s="25" t="n">
        <v>25</v>
      </c>
      <c r="AB3" s="25" t="n">
        <v>26</v>
      </c>
      <c r="AC3" s="25" t="n">
        <v>27</v>
      </c>
      <c r="AD3" s="25" t="n">
        <v>28</v>
      </c>
      <c r="AE3" s="25" t="n">
        <v>29</v>
      </c>
      <c r="AF3" s="25" t="n">
        <v>30</v>
      </c>
      <c r="AG3" s="25" t="n">
        <v>31</v>
      </c>
      <c r="AH3" s="25" t="n">
        <v>32</v>
      </c>
      <c r="AI3" s="25" t="n">
        <v>33</v>
      </c>
      <c r="AJ3" s="25" t="n">
        <v>34</v>
      </c>
      <c r="AK3" s="25" t="n">
        <v>35</v>
      </c>
      <c r="AL3" s="25" t="n">
        <v>36</v>
      </c>
    </row>
    <row r="4" customFormat="false" ht="15" hidden="false" customHeight="true" outlineLevel="0" collapsed="false">
      <c r="A4" s="4" t="s">
        <v>112</v>
      </c>
      <c r="C4" s="26" t="s">
        <v>113</v>
      </c>
      <c r="D4" s="26" t="s">
        <v>114</v>
      </c>
      <c r="E4" s="26" t="s">
        <v>115</v>
      </c>
      <c r="F4" s="26" t="s">
        <v>116</v>
      </c>
      <c r="G4" s="26" t="s">
        <v>117</v>
      </c>
      <c r="H4" s="26" t="s">
        <v>118</v>
      </c>
      <c r="I4" s="26" t="s">
        <v>119</v>
      </c>
      <c r="J4" s="26" t="s">
        <v>120</v>
      </c>
      <c r="K4" s="26" t="s">
        <v>121</v>
      </c>
      <c r="L4" s="26" t="s">
        <v>122</v>
      </c>
      <c r="M4" s="26" t="s">
        <v>123</v>
      </c>
      <c r="N4" s="26" t="s">
        <v>124</v>
      </c>
      <c r="O4" s="26" t="s">
        <v>125</v>
      </c>
      <c r="P4" s="26" t="s">
        <v>126</v>
      </c>
      <c r="Q4" s="26" t="s">
        <v>127</v>
      </c>
      <c r="R4" s="26" t="s">
        <v>128</v>
      </c>
      <c r="S4" s="26" t="s">
        <v>129</v>
      </c>
      <c r="T4" s="26" t="s">
        <v>130</v>
      </c>
      <c r="U4" s="26" t="s">
        <v>131</v>
      </c>
      <c r="V4" s="26" t="s">
        <v>132</v>
      </c>
      <c r="W4" s="26" t="s">
        <v>133</v>
      </c>
      <c r="X4" s="26" t="s">
        <v>134</v>
      </c>
      <c r="Y4" s="26" t="s">
        <v>135</v>
      </c>
      <c r="Z4" s="26" t="s">
        <v>136</v>
      </c>
      <c r="AA4" s="26" t="s">
        <v>137</v>
      </c>
      <c r="AB4" s="26" t="s">
        <v>138</v>
      </c>
      <c r="AC4" s="26" t="s">
        <v>139</v>
      </c>
      <c r="AD4" s="26" t="s">
        <v>140</v>
      </c>
      <c r="AE4" s="26" t="s">
        <v>141</v>
      </c>
      <c r="AF4" s="26" t="s">
        <v>142</v>
      </c>
      <c r="AG4" s="26" t="s">
        <v>143</v>
      </c>
      <c r="AH4" s="26" t="s">
        <v>144</v>
      </c>
      <c r="AI4" s="26" t="s">
        <v>145</v>
      </c>
      <c r="AJ4" s="26" t="s">
        <v>146</v>
      </c>
      <c r="AK4" s="26" t="s">
        <v>147</v>
      </c>
      <c r="AL4" s="26" t="s">
        <v>148</v>
      </c>
    </row>
    <row r="6" customFormat="false" ht="15" hidden="false" customHeight="true" outlineLevel="0" collapsed="false">
      <c r="A6" s="17" t="s">
        <v>173</v>
      </c>
      <c r="B6" s="13" t="s">
        <v>159</v>
      </c>
      <c r="C6" s="28" t="n">
        <f aca="false">가입자!C22</f>
        <v>313337.454545455</v>
      </c>
      <c r="D6" s="28" t="n">
        <f aca="false">가입자!D22</f>
        <v>1301978.96969697</v>
      </c>
      <c r="E6" s="28" t="n">
        <f aca="false">가입자!E22</f>
        <v>2953767.25757576</v>
      </c>
      <c r="F6" s="28" t="n">
        <f aca="false">가입자!F22</f>
        <v>4946246.89772727</v>
      </c>
      <c r="G6" s="28" t="n">
        <f aca="false">가입자!G22</f>
        <v>6597275.35511364</v>
      </c>
      <c r="H6" s="28" t="n">
        <f aca="false">가입자!H22</f>
        <v>7992215.42542614</v>
      </c>
      <c r="I6" s="28" t="n">
        <f aca="false">가입자!I22</f>
        <v>12686955.667081</v>
      </c>
      <c r="J6" s="28" t="n">
        <f aca="false">가입자!J22</f>
        <v>15367881.4775835</v>
      </c>
      <c r="K6" s="28" t="n">
        <f aca="false">가입자!K22</f>
        <v>17944014.7445512</v>
      </c>
      <c r="L6" s="28" t="n">
        <f aca="false">가입자!L22</f>
        <v>22407619.4220498</v>
      </c>
      <c r="M6" s="28" t="n">
        <f aca="false">가입자!M22</f>
        <v>26132282.202901</v>
      </c>
      <c r="N6" s="28" t="n">
        <f aca="false">가입자!N22</f>
        <v>29491218.1976303</v>
      </c>
      <c r="O6" s="28" t="n">
        <f aca="false">가입자!O22</f>
        <v>35448586.3754954</v>
      </c>
      <c r="P6" s="28" t="n">
        <f aca="false">가입자!P22</f>
        <v>40482051.4179852</v>
      </c>
      <c r="Q6" s="28" t="n">
        <f aca="false">가입자!Q22</f>
        <v>44822589.1089435</v>
      </c>
      <c r="R6" s="28" t="n">
        <f aca="false">가입자!R22</f>
        <v>48643431.2862531</v>
      </c>
      <c r="S6" s="28" t="n">
        <f aca="false">가입자!S22</f>
        <v>52074501.8283261</v>
      </c>
      <c r="T6" s="28" t="n">
        <f aca="false">가입자!T22</f>
        <v>55213243.6439719</v>
      </c>
      <c r="U6" s="28" t="n">
        <f aca="false">가입자!U22</f>
        <v>64066673.0966153</v>
      </c>
      <c r="V6" s="28" t="n">
        <f aca="false">가입자!V22</f>
        <v>71460663.7315524</v>
      </c>
      <c r="W6" s="28" t="n">
        <f aca="false">가입자!W22</f>
        <v>77760075.2532097</v>
      </c>
      <c r="X6" s="28" t="n">
        <f aca="false">가입자!X22</f>
        <v>83238552.4399073</v>
      </c>
      <c r="Y6" s="28" t="n">
        <f aca="false">가입자!Y22</f>
        <v>88101328.875385</v>
      </c>
      <c r="Z6" s="28" t="n">
        <f aca="false">가입자!Z22</f>
        <v>92690809.3838115</v>
      </c>
      <c r="AA6" s="28" t="n">
        <f aca="false">가입자!AA22</f>
        <v>104257136.128768</v>
      </c>
      <c r="AB6" s="28" t="n">
        <f aca="false">가입자!AB22</f>
        <v>113874279.369303</v>
      </c>
      <c r="AC6" s="28" t="n">
        <f aca="false">가입자!AC22</f>
        <v>122029534.981523</v>
      </c>
      <c r="AD6" s="28" t="n">
        <f aca="false">가입자!AD22</f>
        <v>129088374.872506</v>
      </c>
      <c r="AE6" s="28" t="n">
        <f aca="false">가입자!AE22</f>
        <v>135324902.972561</v>
      </c>
      <c r="AF6" s="28" t="n">
        <f aca="false">가입자!AF22</f>
        <v>140944697.229421</v>
      </c>
      <c r="AG6" s="28" t="n">
        <f aca="false">가입자!AG22</f>
        <v>146101941.103884</v>
      </c>
      <c r="AH6" s="28" t="n">
        <f aca="false">가입자!AH22</f>
        <v>150912272.191549</v>
      </c>
      <c r="AI6" s="28" t="n">
        <f aca="false">가입자!AI22</f>
        <v>155462418.689116</v>
      </c>
      <c r="AJ6" s="28" t="n">
        <f aca="false">가입자!AJ22</f>
        <v>159817426.74411</v>
      </c>
      <c r="AK6" s="28" t="n">
        <f aca="false">가입자!AK22</f>
        <v>164026080.967173</v>
      </c>
      <c r="AL6" s="28" t="n">
        <f aca="false">가입자!AL22</f>
        <v>168124969.816289</v>
      </c>
    </row>
    <row r="7" customFormat="false" ht="15" hidden="false" customHeight="true" outlineLevel="0" collapsed="false">
      <c r="A7" s="17" t="s">
        <v>174</v>
      </c>
      <c r="B7" s="11" t="s">
        <v>150</v>
      </c>
      <c r="C7" s="10" t="n">
        <v>0</v>
      </c>
      <c r="D7" s="10" t="n">
        <v>0</v>
      </c>
      <c r="E7" s="10" t="n">
        <v>1</v>
      </c>
      <c r="F7" s="10" t="n">
        <v>1</v>
      </c>
      <c r="G7" s="10" t="n">
        <v>2</v>
      </c>
      <c r="H7" s="10" t="n">
        <v>2</v>
      </c>
      <c r="I7" s="10" t="n">
        <v>3</v>
      </c>
      <c r="J7" s="10" t="n">
        <v>3</v>
      </c>
      <c r="K7" s="10" t="n">
        <v>4</v>
      </c>
      <c r="L7" s="10" t="n">
        <v>4</v>
      </c>
      <c r="M7" s="10" t="n">
        <v>5</v>
      </c>
      <c r="N7" s="10" t="n">
        <v>5</v>
      </c>
      <c r="O7" s="10" t="n">
        <v>6</v>
      </c>
      <c r="P7" s="10" t="n">
        <v>7</v>
      </c>
      <c r="Q7" s="10" t="n">
        <v>7</v>
      </c>
      <c r="R7" s="10" t="n">
        <v>8</v>
      </c>
      <c r="S7" s="10" t="n">
        <v>9</v>
      </c>
      <c r="T7" s="10" t="n">
        <v>10</v>
      </c>
      <c r="U7" s="10" t="n">
        <v>11</v>
      </c>
      <c r="V7" s="10" t="n">
        <v>12</v>
      </c>
      <c r="W7" s="10" t="n">
        <v>13</v>
      </c>
      <c r="X7" s="10" t="n">
        <v>14</v>
      </c>
      <c r="Y7" s="10" t="n">
        <v>15</v>
      </c>
      <c r="Z7" s="10" t="n">
        <v>16</v>
      </c>
      <c r="AA7" s="10" t="n">
        <v>18</v>
      </c>
      <c r="AB7" s="10" t="n">
        <v>19</v>
      </c>
      <c r="AC7" s="10" t="n">
        <v>21</v>
      </c>
      <c r="AD7" s="10" t="n">
        <v>22</v>
      </c>
      <c r="AE7" s="10" t="n">
        <v>24</v>
      </c>
      <c r="AF7" s="10" t="n">
        <v>25</v>
      </c>
      <c r="AG7" s="10" t="n">
        <v>26</v>
      </c>
      <c r="AH7" s="10" t="n">
        <v>27</v>
      </c>
      <c r="AI7" s="10" t="n">
        <v>28</v>
      </c>
      <c r="AJ7" s="10" t="n">
        <v>29</v>
      </c>
      <c r="AK7" s="10" t="n">
        <v>30</v>
      </c>
      <c r="AL7" s="10" t="n">
        <v>32</v>
      </c>
    </row>
    <row r="8" customFormat="false" ht="15" hidden="false" customHeight="true" outlineLevel="0" collapsed="false">
      <c r="A8" s="17" t="s">
        <v>175</v>
      </c>
      <c r="B8" s="13" t="s">
        <v>159</v>
      </c>
      <c r="C8" s="22" t="n">
        <f aca="false">C7*가정!$B$37/12</f>
        <v>0</v>
      </c>
      <c r="D8" s="22" t="n">
        <f aca="false">D7*가정!$B$37/12</f>
        <v>0</v>
      </c>
      <c r="E8" s="22" t="n">
        <f aca="false">E7*가정!$B$37/12</f>
        <v>1500000</v>
      </c>
      <c r="F8" s="22" t="n">
        <f aca="false">F7*가정!$B$37/12</f>
        <v>1500000</v>
      </c>
      <c r="G8" s="22" t="n">
        <f aca="false">G7*가정!$B$37/12</f>
        <v>3000000</v>
      </c>
      <c r="H8" s="22" t="n">
        <f aca="false">H7*가정!$B$37/12</f>
        <v>3000000</v>
      </c>
      <c r="I8" s="22" t="n">
        <f aca="false">I7*가정!$B$37/12</f>
        <v>4500000</v>
      </c>
      <c r="J8" s="22" t="n">
        <f aca="false">J7*가정!$B$37/12</f>
        <v>4500000</v>
      </c>
      <c r="K8" s="22" t="n">
        <f aca="false">K7*가정!$B$37/12</f>
        <v>6000000</v>
      </c>
      <c r="L8" s="22" t="n">
        <f aca="false">L7*가정!$B$37/12</f>
        <v>6000000</v>
      </c>
      <c r="M8" s="22" t="n">
        <f aca="false">M7*가정!$B$37/12</f>
        <v>7500000</v>
      </c>
      <c r="N8" s="22" t="n">
        <f aca="false">N7*가정!$B$37/12</f>
        <v>7500000</v>
      </c>
      <c r="O8" s="22" t="n">
        <f aca="false">O7*가정!$B$37/12</f>
        <v>9000000</v>
      </c>
      <c r="P8" s="22" t="n">
        <f aca="false">P7*가정!$B$37/12</f>
        <v>10500000</v>
      </c>
      <c r="Q8" s="22" t="n">
        <f aca="false">Q7*가정!$B$37/12</f>
        <v>10500000</v>
      </c>
      <c r="R8" s="22" t="n">
        <f aca="false">R7*가정!$B$37/12</f>
        <v>12000000</v>
      </c>
      <c r="S8" s="22" t="n">
        <f aca="false">S7*가정!$B$37/12</f>
        <v>13500000</v>
      </c>
      <c r="T8" s="22" t="n">
        <f aca="false">T7*가정!$B$37/12</f>
        <v>15000000</v>
      </c>
      <c r="U8" s="22" t="n">
        <f aca="false">U7*가정!$B$37/12</f>
        <v>16500000</v>
      </c>
      <c r="V8" s="22" t="n">
        <f aca="false">V7*가정!$B$37/12</f>
        <v>18000000</v>
      </c>
      <c r="W8" s="22" t="n">
        <f aca="false">W7*가정!$B$37/12</f>
        <v>19500000</v>
      </c>
      <c r="X8" s="22" t="n">
        <f aca="false">X7*가정!$B$37/12</f>
        <v>21000000</v>
      </c>
      <c r="Y8" s="22" t="n">
        <f aca="false">Y7*가정!$B$37/12</f>
        <v>22500000</v>
      </c>
      <c r="Z8" s="22" t="n">
        <f aca="false">Z7*가정!$B$37/12</f>
        <v>24000000</v>
      </c>
      <c r="AA8" s="22" t="n">
        <f aca="false">AA7*가정!$B$37/12</f>
        <v>27000000</v>
      </c>
      <c r="AB8" s="22" t="n">
        <f aca="false">AB7*가정!$B$37/12</f>
        <v>28500000</v>
      </c>
      <c r="AC8" s="22" t="n">
        <f aca="false">AC7*가정!$B$37/12</f>
        <v>31500000</v>
      </c>
      <c r="AD8" s="22" t="n">
        <f aca="false">AD7*가정!$B$37/12</f>
        <v>33000000</v>
      </c>
      <c r="AE8" s="22" t="n">
        <f aca="false">AE7*가정!$B$37/12</f>
        <v>36000000</v>
      </c>
      <c r="AF8" s="22" t="n">
        <f aca="false">AF7*가정!$B$37/12</f>
        <v>37500000</v>
      </c>
      <c r="AG8" s="22" t="n">
        <f aca="false">AG7*가정!$B$37/12</f>
        <v>39000000</v>
      </c>
      <c r="AH8" s="22" t="n">
        <f aca="false">AH7*가정!$B$37/12</f>
        <v>40500000</v>
      </c>
      <c r="AI8" s="22" t="n">
        <f aca="false">AI7*가정!$B$37/12</f>
        <v>42000000</v>
      </c>
      <c r="AJ8" s="22" t="n">
        <f aca="false">AJ7*가정!$B$37/12</f>
        <v>43500000</v>
      </c>
      <c r="AK8" s="22" t="n">
        <f aca="false">AK7*가정!$B$37/12</f>
        <v>45000000</v>
      </c>
      <c r="AL8" s="22" t="n">
        <f aca="false">AL7*가정!$B$37/12</f>
        <v>48000000</v>
      </c>
    </row>
    <row r="9" customFormat="false" ht="15" hidden="false" customHeight="true" outlineLevel="0" collapsed="false">
      <c r="A9" s="4" t="s">
        <v>176</v>
      </c>
      <c r="B9" s="13" t="s">
        <v>159</v>
      </c>
      <c r="C9" s="22" t="n">
        <f aca="false">C6+C8</f>
        <v>313337.454545455</v>
      </c>
      <c r="D9" s="22" t="n">
        <f aca="false">D6+D8</f>
        <v>1301978.96969697</v>
      </c>
      <c r="E9" s="22" t="n">
        <f aca="false">E6+E8</f>
        <v>4453767.25757576</v>
      </c>
      <c r="F9" s="22" t="n">
        <f aca="false">F6+F8</f>
        <v>6446246.89772727</v>
      </c>
      <c r="G9" s="22" t="n">
        <f aca="false">G6+G8</f>
        <v>9597275.35511364</v>
      </c>
      <c r="H9" s="22" t="n">
        <f aca="false">H6+H8</f>
        <v>10992215.4254261</v>
      </c>
      <c r="I9" s="22" t="n">
        <f aca="false">I6+I8</f>
        <v>17186955.667081</v>
      </c>
      <c r="J9" s="22" t="n">
        <f aca="false">J6+J8</f>
        <v>19867881.4775835</v>
      </c>
      <c r="K9" s="22" t="n">
        <f aca="false">K6+K8</f>
        <v>23944014.7445512</v>
      </c>
      <c r="L9" s="22" t="n">
        <f aca="false">L6+L8</f>
        <v>28407619.4220498</v>
      </c>
      <c r="M9" s="22" t="n">
        <f aca="false">M6+M8</f>
        <v>33632282.202901</v>
      </c>
      <c r="N9" s="22" t="n">
        <f aca="false">N6+N8</f>
        <v>36991218.1976303</v>
      </c>
      <c r="O9" s="22" t="n">
        <f aca="false">O6+O8</f>
        <v>44448586.3754954</v>
      </c>
      <c r="P9" s="22" t="n">
        <f aca="false">P6+P8</f>
        <v>50982051.4179852</v>
      </c>
      <c r="Q9" s="22" t="n">
        <f aca="false">Q6+Q8</f>
        <v>55322589.1089435</v>
      </c>
      <c r="R9" s="22" t="n">
        <f aca="false">R6+R8</f>
        <v>60643431.2862531</v>
      </c>
      <c r="S9" s="22" t="n">
        <f aca="false">S6+S8</f>
        <v>65574501.8283261</v>
      </c>
      <c r="T9" s="22" t="n">
        <f aca="false">T6+T8</f>
        <v>70213243.6439719</v>
      </c>
      <c r="U9" s="22" t="n">
        <f aca="false">U6+U8</f>
        <v>80566673.0966153</v>
      </c>
      <c r="V9" s="22" t="n">
        <f aca="false">V6+V8</f>
        <v>89460663.7315524</v>
      </c>
      <c r="W9" s="22" t="n">
        <f aca="false">W6+W8</f>
        <v>97260075.2532097</v>
      </c>
      <c r="X9" s="22" t="n">
        <f aca="false">X6+X8</f>
        <v>104238552.439907</v>
      </c>
      <c r="Y9" s="22" t="n">
        <f aca="false">Y6+Y8</f>
        <v>110601328.875385</v>
      </c>
      <c r="Z9" s="22" t="n">
        <f aca="false">Z6+Z8</f>
        <v>116690809.383811</v>
      </c>
      <c r="AA9" s="22" t="n">
        <f aca="false">AA6+AA8</f>
        <v>131257136.128768</v>
      </c>
      <c r="AB9" s="22" t="n">
        <f aca="false">AB6+AB8</f>
        <v>142374279.369303</v>
      </c>
      <c r="AC9" s="22" t="n">
        <f aca="false">AC6+AC8</f>
        <v>153529534.981523</v>
      </c>
      <c r="AD9" s="22" t="n">
        <f aca="false">AD6+AD8</f>
        <v>162088374.872506</v>
      </c>
      <c r="AE9" s="22" t="n">
        <f aca="false">AE6+AE8</f>
        <v>171324902.972561</v>
      </c>
      <c r="AF9" s="22" t="n">
        <f aca="false">AF6+AF8</f>
        <v>178444697.229421</v>
      </c>
      <c r="AG9" s="22" t="n">
        <f aca="false">AG6+AG8</f>
        <v>185101941.103884</v>
      </c>
      <c r="AH9" s="22" t="n">
        <f aca="false">AH6+AH8</f>
        <v>191412272.191549</v>
      </c>
      <c r="AI9" s="22" t="n">
        <f aca="false">AI6+AI8</f>
        <v>197462418.689116</v>
      </c>
      <c r="AJ9" s="22" t="n">
        <f aca="false">AJ6+AJ8</f>
        <v>203317426.74411</v>
      </c>
      <c r="AK9" s="22" t="n">
        <f aca="false">AK6+AK8</f>
        <v>209026080.967173</v>
      </c>
      <c r="AL9" s="22" t="n">
        <f aca="false">AL6+AL8</f>
        <v>216124969.816289</v>
      </c>
    </row>
    <row r="11" customFormat="false" ht="15" hidden="false" customHeight="true" outlineLevel="0" collapsed="false">
      <c r="A11" s="9" t="s">
        <v>177</v>
      </c>
      <c r="B11" s="13" t="s">
        <v>159</v>
      </c>
      <c r="C11" s="22" t="n">
        <f aca="false">가입자!C21*가정!$B$28</f>
        <v>11718.8208</v>
      </c>
      <c r="D11" s="22" t="n">
        <f aca="false">가입자!D21*가정!$B$28</f>
        <v>48694.0134666667</v>
      </c>
      <c r="E11" s="22" t="n">
        <f aca="false">가입자!E21*가정!$B$28</f>
        <v>110470.895433333</v>
      </c>
      <c r="F11" s="22" t="n">
        <f aca="false">가입자!F21*가정!$B$28</f>
        <v>184989.633975</v>
      </c>
      <c r="G11" s="22" t="n">
        <f aca="false">가입자!G21*가정!$B$28</f>
        <v>246738.09828125</v>
      </c>
      <c r="H11" s="22" t="n">
        <f aca="false">가입자!H21*가정!$B$28</f>
        <v>298908.856910938</v>
      </c>
      <c r="I11" s="22" t="n">
        <f aca="false">가입자!I21*가정!$B$28</f>
        <v>474492.141948828</v>
      </c>
      <c r="J11" s="22" t="n">
        <f aca="false">가입자!J21*가정!$B$28</f>
        <v>574758.767261621</v>
      </c>
      <c r="K11" s="22" t="n">
        <f aca="false">가입자!K21*가정!$B$28</f>
        <v>671106.151446216</v>
      </c>
      <c r="L11" s="22" t="n">
        <f aca="false">가입자!L21*가정!$B$28</f>
        <v>838044.966384662</v>
      </c>
      <c r="M11" s="22" t="n">
        <f aca="false">가입자!M21*가정!$B$28</f>
        <v>977347.354388497</v>
      </c>
      <c r="N11" s="22" t="n">
        <f aca="false">가입자!N21*가정!$B$28</f>
        <v>1102971.56059137</v>
      </c>
      <c r="O11" s="22" t="n">
        <f aca="false">가입자!O21*가정!$B$28</f>
        <v>1325777.13044353</v>
      </c>
      <c r="P11" s="22" t="n">
        <f aca="false">가입자!P21*가정!$B$28</f>
        <v>1514028.72303265</v>
      </c>
      <c r="Q11" s="22" t="n">
        <f aca="false">가입자!Q21*가정!$B$28</f>
        <v>1676364.83267449</v>
      </c>
      <c r="R11" s="22" t="n">
        <f aca="false">가입자!R21*가정!$B$28</f>
        <v>1819264.33010586</v>
      </c>
      <c r="S11" s="22" t="n">
        <f aca="false">가입자!S21*가정!$B$28</f>
        <v>1947586.3683794</v>
      </c>
      <c r="T11" s="22" t="n">
        <f aca="false">가입자!T21*가정!$B$28</f>
        <v>2064975.31228455</v>
      </c>
      <c r="U11" s="22" t="n">
        <f aca="false">가입자!U21*가정!$B$28</f>
        <v>2396093.57381341</v>
      </c>
      <c r="V11" s="22" t="n">
        <f aca="false">가입자!V21*가정!$B$28</f>
        <v>2672628.82356006</v>
      </c>
      <c r="W11" s="22" t="n">
        <f aca="false">가입자!W21*가정!$B$28</f>
        <v>2908226.81447005</v>
      </c>
      <c r="X11" s="22" t="n">
        <f aca="false">가입자!X21*가정!$B$28</f>
        <v>3113121.86125253</v>
      </c>
      <c r="Y11" s="22" t="n">
        <f aca="false">가입자!Y21*가정!$B$28</f>
        <v>3294989.6999394</v>
      </c>
      <c r="Z11" s="22" t="n">
        <f aca="false">가입자!Z21*가정!$B$28</f>
        <v>3466636.27095455</v>
      </c>
      <c r="AA11" s="22" t="n">
        <f aca="false">가입자!AA21*가정!$B$28</f>
        <v>3899216.89121591</v>
      </c>
      <c r="AB11" s="22" t="n">
        <f aca="false">가입자!AB21*가정!$B$28</f>
        <v>4258898.04841193</v>
      </c>
      <c r="AC11" s="22" t="n">
        <f aca="false">가입자!AC21*가정!$B$28</f>
        <v>4563904.60830895</v>
      </c>
      <c r="AD11" s="22" t="n">
        <f aca="false">가입자!AD21*가정!$B$28</f>
        <v>4827905.22023171</v>
      </c>
      <c r="AE11" s="22" t="n">
        <f aca="false">가입자!AE21*가정!$B$28</f>
        <v>5061151.37117379</v>
      </c>
      <c r="AF11" s="22" t="n">
        <f aca="false">가입자!AF21*가정!$B$28</f>
        <v>5271331.67638034</v>
      </c>
      <c r="AG11" s="22" t="n">
        <f aca="false">가입자!AG21*가정!$B$28</f>
        <v>5464212.59728526</v>
      </c>
      <c r="AH11" s="22" t="n">
        <f aca="false">가입자!AH21*가정!$B$28</f>
        <v>5644118.97996394</v>
      </c>
      <c r="AI11" s="22" t="n">
        <f aca="false">가입자!AI21*가정!$B$28</f>
        <v>5814294.45897296</v>
      </c>
      <c r="AJ11" s="22" t="n">
        <f aca="false">가입자!AJ21*가정!$B$28</f>
        <v>5977171.76022972</v>
      </c>
      <c r="AK11" s="22" t="n">
        <f aca="false">가입자!AK21*가정!$B$28</f>
        <v>6134575.42817229</v>
      </c>
      <c r="AL11" s="22" t="n">
        <f aca="false">가입자!AL21*가정!$B$28</f>
        <v>6287873.87112922</v>
      </c>
    </row>
    <row r="12" customFormat="false" ht="15" hidden="false" customHeight="true" outlineLevel="0" collapsed="false">
      <c r="A12" s="9" t="s">
        <v>178</v>
      </c>
      <c r="B12" s="13" t="s">
        <v>159</v>
      </c>
      <c r="C12" s="22" t="n">
        <f aca="false">가입자!C15*가정!$B$29</f>
        <v>20995.2</v>
      </c>
      <c r="D12" s="22" t="n">
        <f aca="false">가입자!D15*가정!$B$29</f>
        <v>87239.2</v>
      </c>
      <c r="E12" s="22" t="n">
        <f aca="false">가입자!E15*가정!$B$29</f>
        <v>197917.4</v>
      </c>
      <c r="F12" s="22" t="n">
        <f aca="false">가입자!F15*가정!$B$29</f>
        <v>331423.65</v>
      </c>
      <c r="G12" s="22" t="n">
        <f aca="false">가입자!G15*가정!$B$29</f>
        <v>442050.9375</v>
      </c>
      <c r="H12" s="22" t="n">
        <f aca="false">가입자!H15*가정!$B$29</f>
        <v>535519.003125</v>
      </c>
      <c r="I12" s="22" t="n">
        <f aca="false">가입자!I15*가정!$B$29</f>
        <v>706615.25234375</v>
      </c>
      <c r="J12" s="22" t="n">
        <f aca="false">가입자!J15*가정!$B$29</f>
        <v>855932.639257812</v>
      </c>
      <c r="K12" s="22" t="n">
        <f aca="false">가입자!K15*가정!$B$29</f>
        <v>999413.479443359</v>
      </c>
      <c r="L12" s="22" t="n">
        <f aca="false">가입자!L15*가정!$B$29</f>
        <v>1248019.30958252</v>
      </c>
      <c r="M12" s="22" t="n">
        <f aca="false">가입자!M15*가정!$B$29</f>
        <v>1455468.88218689</v>
      </c>
      <c r="N12" s="22" t="n">
        <f aca="false">가입자!N15*가정!$B$29</f>
        <v>1642548.86164017</v>
      </c>
      <c r="O12" s="22" t="n">
        <f aca="false">가입자!O15*가정!$B$29</f>
        <v>1974351.64623013</v>
      </c>
      <c r="P12" s="22" t="n">
        <f aca="false">가입자!P15*가정!$B$29</f>
        <v>2254696.53467259</v>
      </c>
      <c r="Q12" s="22" t="n">
        <f aca="false">가입자!Q15*가정!$B$29</f>
        <v>2496448.00100445</v>
      </c>
      <c r="R12" s="22" t="n">
        <f aca="false">가입자!R15*가정!$B$29</f>
        <v>2709254.40075333</v>
      </c>
      <c r="S12" s="22" t="n">
        <f aca="false">가입자!S15*가정!$B$29</f>
        <v>2900352.000565</v>
      </c>
      <c r="T12" s="22" t="n">
        <f aca="false">가입자!T15*가정!$B$29</f>
        <v>3075168.00042375</v>
      </c>
      <c r="U12" s="22" t="n">
        <f aca="false">가입자!U15*가정!$B$29</f>
        <v>3568270.40031781</v>
      </c>
      <c r="V12" s="22" t="n">
        <f aca="false">가입자!V15*가정!$B$29</f>
        <v>3980087.60023836</v>
      </c>
      <c r="W12" s="22" t="n">
        <f aca="false">가입자!W15*가정!$B$29</f>
        <v>4330940.90017877</v>
      </c>
      <c r="X12" s="22" t="n">
        <f aca="false">가입자!X15*가정!$B$29</f>
        <v>4636071.27513408</v>
      </c>
      <c r="Y12" s="22" t="n">
        <f aca="false">가입자!Y15*가정!$B$29</f>
        <v>4906909.45635056</v>
      </c>
      <c r="Z12" s="22" t="n">
        <f aca="false">가입자!Z15*가정!$B$29</f>
        <v>5162526.09226292</v>
      </c>
      <c r="AA12" s="22" t="n">
        <f aca="false">가입자!AA15*가정!$B$29</f>
        <v>5806726.56919719</v>
      </c>
      <c r="AB12" s="22" t="n">
        <f aca="false">가입자!AB15*가정!$B$29</f>
        <v>6342364.92689789</v>
      </c>
      <c r="AC12" s="22" t="n">
        <f aca="false">가입자!AC15*가정!$B$29</f>
        <v>6796581.69517342</v>
      </c>
      <c r="AD12" s="22" t="n">
        <f aca="false">가입자!AD15*가정!$B$29</f>
        <v>7189732.27138006</v>
      </c>
      <c r="AE12" s="22" t="n">
        <f aca="false">가입자!AE15*가정!$B$29</f>
        <v>7537083.20353505</v>
      </c>
      <c r="AF12" s="22" t="n">
        <f aca="false">가입자!AF15*가정!$B$29</f>
        <v>7850084.40265129</v>
      </c>
      <c r="AG12" s="22" t="n">
        <f aca="false">가입자!AG15*가정!$B$29</f>
        <v>8137323.30198847</v>
      </c>
      <c r="AH12" s="22" t="n">
        <f aca="false">가입자!AH15*가정!$B$29</f>
        <v>8405240.47649135</v>
      </c>
      <c r="AI12" s="22" t="n">
        <f aca="false">가입자!AI15*가정!$B$29</f>
        <v>8658666.35736851</v>
      </c>
      <c r="AJ12" s="22" t="n">
        <f aca="false">가입자!AJ15*가정!$B$29</f>
        <v>8901223.76802639</v>
      </c>
      <c r="AK12" s="22" t="n">
        <f aca="false">가입자!AK15*가정!$B$29</f>
        <v>9135629.82601979</v>
      </c>
      <c r="AL12" s="22" t="n">
        <f aca="false">가입자!AL15*가정!$B$29</f>
        <v>9363922.36951484</v>
      </c>
    </row>
    <row r="13" customFormat="false" ht="15" hidden="false" customHeight="true" outlineLevel="0" collapsed="false">
      <c r="A13" s="9" t="s">
        <v>179</v>
      </c>
      <c r="B13" s="13" t="s">
        <v>159</v>
      </c>
      <c r="C13" s="22" t="n">
        <f aca="false">가입자!C15*가정!$B$67</f>
        <v>20995.2</v>
      </c>
      <c r="D13" s="22" t="n">
        <f aca="false">가입자!D15*가정!$B$67</f>
        <v>87239.2</v>
      </c>
      <c r="E13" s="22" t="n">
        <f aca="false">가입자!E15*가정!$B$67</f>
        <v>197917.4</v>
      </c>
      <c r="F13" s="22" t="n">
        <f aca="false">가입자!F15*가정!$B$67</f>
        <v>331423.65</v>
      </c>
      <c r="G13" s="22" t="n">
        <f aca="false">가입자!G15*가정!$B$67</f>
        <v>442050.9375</v>
      </c>
      <c r="H13" s="22" t="n">
        <f aca="false">가입자!H15*가정!$B$67</f>
        <v>535519.003125</v>
      </c>
      <c r="I13" s="22" t="n">
        <f aca="false">가입자!I15*가정!$B$67</f>
        <v>706615.25234375</v>
      </c>
      <c r="J13" s="22" t="n">
        <f aca="false">가입자!J15*가정!$B$67</f>
        <v>855932.639257812</v>
      </c>
      <c r="K13" s="22" t="n">
        <f aca="false">가입자!K15*가정!$B$67</f>
        <v>999413.479443359</v>
      </c>
      <c r="L13" s="22" t="n">
        <f aca="false">가입자!L15*가정!$B$67</f>
        <v>1248019.30958252</v>
      </c>
      <c r="M13" s="22" t="n">
        <f aca="false">가입자!M15*가정!$B$67</f>
        <v>1455468.88218689</v>
      </c>
      <c r="N13" s="22" t="n">
        <f aca="false">가입자!N15*가정!$B$67</f>
        <v>1642548.86164017</v>
      </c>
      <c r="O13" s="22" t="n">
        <f aca="false">가입자!O15*가정!$B$67</f>
        <v>1974351.64623013</v>
      </c>
      <c r="P13" s="22" t="n">
        <f aca="false">가입자!P15*가정!$B$67</f>
        <v>2254696.53467259</v>
      </c>
      <c r="Q13" s="22" t="n">
        <f aca="false">가입자!Q15*가정!$B$67</f>
        <v>2496448.00100445</v>
      </c>
      <c r="R13" s="22" t="n">
        <f aca="false">가입자!R15*가정!$B$67</f>
        <v>2709254.40075333</v>
      </c>
      <c r="S13" s="22" t="n">
        <f aca="false">가입자!S15*가정!$B$67</f>
        <v>2900352.000565</v>
      </c>
      <c r="T13" s="22" t="n">
        <f aca="false">가입자!T15*가정!$B$67</f>
        <v>3075168.00042375</v>
      </c>
      <c r="U13" s="22" t="n">
        <f aca="false">가입자!U15*가정!$B$67</f>
        <v>3568270.40031781</v>
      </c>
      <c r="V13" s="22" t="n">
        <f aca="false">가입자!V15*가정!$B$67</f>
        <v>3980087.60023836</v>
      </c>
      <c r="W13" s="22" t="n">
        <f aca="false">가입자!W15*가정!$B$67</f>
        <v>4330940.90017877</v>
      </c>
      <c r="X13" s="22" t="n">
        <f aca="false">가입자!X15*가정!$B$67</f>
        <v>4636071.27513408</v>
      </c>
      <c r="Y13" s="22" t="n">
        <f aca="false">가입자!Y15*가정!$B$67</f>
        <v>4906909.45635056</v>
      </c>
      <c r="Z13" s="22" t="n">
        <f aca="false">가입자!Z15*가정!$B$67</f>
        <v>5162526.09226292</v>
      </c>
      <c r="AA13" s="22" t="n">
        <f aca="false">가입자!AA15*가정!$B$67</f>
        <v>5806726.56919719</v>
      </c>
      <c r="AB13" s="22" t="n">
        <f aca="false">가입자!AB15*가정!$B$67</f>
        <v>6342364.92689789</v>
      </c>
      <c r="AC13" s="22" t="n">
        <f aca="false">가입자!AC15*가정!$B$67</f>
        <v>6796581.69517342</v>
      </c>
      <c r="AD13" s="22" t="n">
        <f aca="false">가입자!AD15*가정!$B$67</f>
        <v>7189732.27138006</v>
      </c>
      <c r="AE13" s="22" t="n">
        <f aca="false">가입자!AE15*가정!$B$67</f>
        <v>7537083.20353505</v>
      </c>
      <c r="AF13" s="22" t="n">
        <f aca="false">가입자!AF15*가정!$B$67</f>
        <v>7850084.40265129</v>
      </c>
      <c r="AG13" s="22" t="n">
        <f aca="false">가입자!AG15*가정!$B$67</f>
        <v>8137323.30198847</v>
      </c>
      <c r="AH13" s="22" t="n">
        <f aca="false">가입자!AH15*가정!$B$67</f>
        <v>8405240.47649135</v>
      </c>
      <c r="AI13" s="22" t="n">
        <f aca="false">가입자!AI15*가정!$B$67</f>
        <v>8658666.35736851</v>
      </c>
      <c r="AJ13" s="22" t="n">
        <f aca="false">가입자!AJ15*가정!$B$67</f>
        <v>8901223.76802639</v>
      </c>
      <c r="AK13" s="22" t="n">
        <f aca="false">가입자!AK15*가정!$B$67</f>
        <v>9135629.82601979</v>
      </c>
      <c r="AL13" s="22" t="n">
        <f aca="false">가입자!AL15*가정!$B$67</f>
        <v>9363922.36951484</v>
      </c>
    </row>
    <row r="14" customFormat="false" ht="15" hidden="false" customHeight="true" outlineLevel="0" collapsed="false">
      <c r="A14" s="9" t="s">
        <v>180</v>
      </c>
      <c r="B14" s="13" t="s">
        <v>159</v>
      </c>
      <c r="C14" s="22" t="n">
        <f aca="false">가정!$B$33*가정!$B$34</f>
        <v>1600000</v>
      </c>
      <c r="D14" s="22" t="n">
        <f aca="false">가정!$B$33*가정!$B$34</f>
        <v>1600000</v>
      </c>
      <c r="E14" s="22" t="n">
        <f aca="false">가정!$B$33*가정!$B$34</f>
        <v>1600000</v>
      </c>
      <c r="F14" s="22" t="n">
        <f aca="false">가정!$B$33*가정!$B$34</f>
        <v>1600000</v>
      </c>
      <c r="G14" s="22" t="n">
        <f aca="false">가정!$B$33*가정!$B$34</f>
        <v>1600000</v>
      </c>
      <c r="H14" s="22" t="n">
        <f aca="false">가정!$B$33*가정!$B$34</f>
        <v>1600000</v>
      </c>
      <c r="I14" s="22" t="n">
        <f aca="false">가정!$B$33*가정!$B$34</f>
        <v>1600000</v>
      </c>
      <c r="J14" s="22" t="n">
        <f aca="false">가정!$B$33*가정!$B$34</f>
        <v>1600000</v>
      </c>
      <c r="K14" s="22" t="n">
        <f aca="false">가정!$B$33*가정!$B$34</f>
        <v>1600000</v>
      </c>
      <c r="L14" s="22" t="n">
        <f aca="false">가정!$B$33*가정!$B$34</f>
        <v>1600000</v>
      </c>
      <c r="M14" s="22" t="n">
        <f aca="false">가정!$B$33*가정!$B$34</f>
        <v>1600000</v>
      </c>
      <c r="N14" s="22" t="n">
        <f aca="false">가정!$B$33*가정!$B$34</f>
        <v>1600000</v>
      </c>
      <c r="O14" s="22" t="n">
        <f aca="false">가정!$B$33*가정!$B$34</f>
        <v>1600000</v>
      </c>
      <c r="P14" s="22" t="n">
        <f aca="false">가정!$B$33*가정!$B$34</f>
        <v>1600000</v>
      </c>
      <c r="Q14" s="22" t="n">
        <f aca="false">가정!$B$33*가정!$B$34</f>
        <v>1600000</v>
      </c>
      <c r="R14" s="22" t="n">
        <f aca="false">가정!$B$33*가정!$B$34</f>
        <v>1600000</v>
      </c>
      <c r="S14" s="22" t="n">
        <f aca="false">가정!$B$33*가정!$B$34</f>
        <v>1600000</v>
      </c>
      <c r="T14" s="22" t="n">
        <f aca="false">가정!$B$33*가정!$B$34</f>
        <v>1600000</v>
      </c>
      <c r="U14" s="22" t="n">
        <f aca="false">가정!$B$33*가정!$B$34</f>
        <v>1600000</v>
      </c>
      <c r="V14" s="22" t="n">
        <f aca="false">가정!$B$33*가정!$B$34</f>
        <v>1600000</v>
      </c>
      <c r="W14" s="22" t="n">
        <f aca="false">가정!$B$33*가정!$B$34</f>
        <v>1600000</v>
      </c>
      <c r="X14" s="22" t="n">
        <f aca="false">가정!$B$33*가정!$B$34</f>
        <v>1600000</v>
      </c>
      <c r="Y14" s="22" t="n">
        <f aca="false">가정!$B$33*가정!$B$34</f>
        <v>1600000</v>
      </c>
      <c r="Z14" s="22" t="n">
        <f aca="false">가정!$B$33*가정!$B$34</f>
        <v>1600000</v>
      </c>
      <c r="AA14" s="22" t="n">
        <f aca="false">가정!$B$33*가정!$B$34</f>
        <v>1600000</v>
      </c>
      <c r="AB14" s="22" t="n">
        <f aca="false">가정!$B$33*가정!$B$34</f>
        <v>1600000</v>
      </c>
      <c r="AC14" s="22" t="n">
        <f aca="false">가정!$B$33*가정!$B$34</f>
        <v>1600000</v>
      </c>
      <c r="AD14" s="22" t="n">
        <f aca="false">가정!$B$33*가정!$B$34</f>
        <v>1600000</v>
      </c>
      <c r="AE14" s="22" t="n">
        <f aca="false">가정!$B$33*가정!$B$34</f>
        <v>1600000</v>
      </c>
      <c r="AF14" s="22" t="n">
        <f aca="false">가정!$B$33*가정!$B$34</f>
        <v>1600000</v>
      </c>
      <c r="AG14" s="22" t="n">
        <f aca="false">가정!$B$33*가정!$B$34</f>
        <v>1600000</v>
      </c>
      <c r="AH14" s="22" t="n">
        <f aca="false">가정!$B$33*가정!$B$34</f>
        <v>1600000</v>
      </c>
      <c r="AI14" s="22" t="n">
        <f aca="false">가정!$B$33*가정!$B$34</f>
        <v>1600000</v>
      </c>
      <c r="AJ14" s="22" t="n">
        <f aca="false">가정!$B$33*가정!$B$34</f>
        <v>1600000</v>
      </c>
      <c r="AK14" s="22" t="n">
        <f aca="false">가정!$B$33*가정!$B$34</f>
        <v>1600000</v>
      </c>
      <c r="AL14" s="22" t="n">
        <f aca="false">가정!$B$33*가정!$B$34</f>
        <v>1600000</v>
      </c>
    </row>
    <row r="15" customFormat="false" ht="15" hidden="false" customHeight="true" outlineLevel="0" collapsed="false">
      <c r="A15" s="9" t="s">
        <v>181</v>
      </c>
      <c r="B15" s="13" t="s">
        <v>159</v>
      </c>
      <c r="C15" s="22" t="n">
        <f aca="false">SUM(C11:C14)</f>
        <v>1653709.2208</v>
      </c>
      <c r="D15" s="22" t="n">
        <f aca="false">SUM(D11:D14)</f>
        <v>1823172.41346667</v>
      </c>
      <c r="E15" s="22" t="n">
        <f aca="false">SUM(E11:E14)</f>
        <v>2106305.69543333</v>
      </c>
      <c r="F15" s="22" t="n">
        <f aca="false">SUM(F11:F14)</f>
        <v>2447836.933975</v>
      </c>
      <c r="G15" s="22" t="n">
        <f aca="false">SUM(G11:G14)</f>
        <v>2730839.97328125</v>
      </c>
      <c r="H15" s="22" t="n">
        <f aca="false">SUM(H11:H14)</f>
        <v>2969946.86316094</v>
      </c>
      <c r="I15" s="22" t="n">
        <f aca="false">SUM(I11:I14)</f>
        <v>3487722.64663633</v>
      </c>
      <c r="J15" s="22" t="n">
        <f aca="false">SUM(J11:J14)</f>
        <v>3886624.04577725</v>
      </c>
      <c r="K15" s="22" t="n">
        <f aca="false">SUM(K11:K14)</f>
        <v>4269933.11033293</v>
      </c>
      <c r="L15" s="22" t="n">
        <f aca="false">SUM(L11:L14)</f>
        <v>4934083.5855497</v>
      </c>
      <c r="M15" s="22" t="n">
        <f aca="false">SUM(M11:M14)</f>
        <v>5488285.11876228</v>
      </c>
      <c r="N15" s="22" t="n">
        <f aca="false">SUM(N11:N14)</f>
        <v>5988069.28387171</v>
      </c>
      <c r="O15" s="22" t="n">
        <f aca="false">SUM(O11:O14)</f>
        <v>6874480.42290378</v>
      </c>
      <c r="P15" s="22" t="n">
        <f aca="false">SUM(P11:P14)</f>
        <v>7623421.79237784</v>
      </c>
      <c r="Q15" s="22" t="n">
        <f aca="false">SUM(Q11:Q14)</f>
        <v>8269260.83468338</v>
      </c>
      <c r="R15" s="22" t="n">
        <f aca="false">SUM(R11:R14)</f>
        <v>8837773.13161253</v>
      </c>
      <c r="S15" s="22" t="n">
        <f aca="false">SUM(S11:S14)</f>
        <v>9348290.3695094</v>
      </c>
      <c r="T15" s="22" t="n">
        <f aca="false">SUM(T11:T14)</f>
        <v>9815311.31313205</v>
      </c>
      <c r="U15" s="22" t="n">
        <f aca="false">SUM(U11:U14)</f>
        <v>11132634.374449</v>
      </c>
      <c r="V15" s="22" t="n">
        <f aca="false">SUM(V11:V14)</f>
        <v>12232804.0240368</v>
      </c>
      <c r="W15" s="22" t="n">
        <f aca="false">SUM(W11:W14)</f>
        <v>13170108.6148276</v>
      </c>
      <c r="X15" s="22" t="n">
        <f aca="false">SUM(X11:X14)</f>
        <v>13985264.4115207</v>
      </c>
      <c r="Y15" s="22" t="n">
        <f aca="false">SUM(Y11:Y14)</f>
        <v>14708808.6126405</v>
      </c>
      <c r="Z15" s="22" t="n">
        <f aca="false">SUM(Z11:Z14)</f>
        <v>15391688.4554804</v>
      </c>
      <c r="AA15" s="22" t="n">
        <f aca="false">SUM(AA11:AA14)</f>
        <v>17112670.0296103</v>
      </c>
      <c r="AB15" s="22" t="n">
        <f aca="false">SUM(AB11:AB14)</f>
        <v>18543627.9022077</v>
      </c>
      <c r="AC15" s="22" t="n">
        <f aca="false">SUM(AC11:AC14)</f>
        <v>19757067.9986558</v>
      </c>
      <c r="AD15" s="22" t="n">
        <f aca="false">SUM(AD11:AD14)</f>
        <v>20807369.7629918</v>
      </c>
      <c r="AE15" s="22" t="n">
        <f aca="false">SUM(AE11:AE14)</f>
        <v>21735317.7782439</v>
      </c>
      <c r="AF15" s="22" t="n">
        <f aca="false">SUM(AF11:AF14)</f>
        <v>22571500.4816829</v>
      </c>
      <c r="AG15" s="22" t="n">
        <f aca="false">SUM(AG11:AG14)</f>
        <v>23338859.2012622</v>
      </c>
      <c r="AH15" s="22" t="n">
        <f aca="false">SUM(AH11:AH14)</f>
        <v>24054599.9329466</v>
      </c>
      <c r="AI15" s="22" t="n">
        <f aca="false">SUM(AI11:AI14)</f>
        <v>24731627.17371</v>
      </c>
      <c r="AJ15" s="22" t="n">
        <f aca="false">SUM(AJ11:AJ14)</f>
        <v>25379619.2962825</v>
      </c>
      <c r="AK15" s="22" t="n">
        <f aca="false">SUM(AK11:AK14)</f>
        <v>26005835.0802119</v>
      </c>
      <c r="AL15" s="22" t="n">
        <f aca="false">SUM(AL11:AL14)</f>
        <v>26615718.6101589</v>
      </c>
    </row>
    <row r="16" customFormat="false" ht="15" hidden="false" customHeight="true" outlineLevel="0" collapsed="false">
      <c r="A16" s="4" t="s">
        <v>182</v>
      </c>
      <c r="B16" s="13" t="s">
        <v>159</v>
      </c>
      <c r="C16" s="22" t="n">
        <f aca="false">C9-C15</f>
        <v>-1340371.76625455</v>
      </c>
      <c r="D16" s="22" t="n">
        <f aca="false">D9-D15</f>
        <v>-521193.443769697</v>
      </c>
      <c r="E16" s="22" t="n">
        <f aca="false">E9-E15</f>
        <v>2347461.56214242</v>
      </c>
      <c r="F16" s="22" t="n">
        <f aca="false">F9-F15</f>
        <v>3998409.96375227</v>
      </c>
      <c r="G16" s="22" t="n">
        <f aca="false">G9-G15</f>
        <v>6866435.38183239</v>
      </c>
      <c r="H16" s="22" t="n">
        <f aca="false">H9-H15</f>
        <v>8022268.5622652</v>
      </c>
      <c r="I16" s="22" t="n">
        <f aca="false">I9-I15</f>
        <v>13699233.0204446</v>
      </c>
      <c r="J16" s="22" t="n">
        <f aca="false">J9-J15</f>
        <v>15981257.4318062</v>
      </c>
      <c r="K16" s="22" t="n">
        <f aca="false">K9-K15</f>
        <v>19674081.6342183</v>
      </c>
      <c r="L16" s="22" t="n">
        <f aca="false">L9-L15</f>
        <v>23473535.8365001</v>
      </c>
      <c r="M16" s="22" t="n">
        <f aca="false">M9-M15</f>
        <v>28143997.0841387</v>
      </c>
      <c r="N16" s="22" t="n">
        <f aca="false">N9-N15</f>
        <v>31003148.9137586</v>
      </c>
      <c r="O16" s="22" t="n">
        <f aca="false">O9-O15</f>
        <v>37574105.9525917</v>
      </c>
      <c r="P16" s="22" t="n">
        <f aca="false">P9-P15</f>
        <v>43358629.6256074</v>
      </c>
      <c r="Q16" s="22" t="n">
        <f aca="false">Q9-Q15</f>
        <v>47053328.2742601</v>
      </c>
      <c r="R16" s="22" t="n">
        <f aca="false">R9-R15</f>
        <v>51805658.1546405</v>
      </c>
      <c r="S16" s="22" t="n">
        <f aca="false">S9-S15</f>
        <v>56226211.4588167</v>
      </c>
      <c r="T16" s="22" t="n">
        <f aca="false">T9-T15</f>
        <v>60397932.3308398</v>
      </c>
      <c r="U16" s="22" t="n">
        <f aca="false">U9-U15</f>
        <v>69434038.7221662</v>
      </c>
      <c r="V16" s="22" t="n">
        <f aca="false">V9-V15</f>
        <v>77227859.7075156</v>
      </c>
      <c r="W16" s="22" t="n">
        <f aca="false">W9-W15</f>
        <v>84089966.6383822</v>
      </c>
      <c r="X16" s="22" t="n">
        <f aca="false">X9-X15</f>
        <v>90253288.0283866</v>
      </c>
      <c r="Y16" s="22" t="n">
        <f aca="false">Y9-Y15</f>
        <v>95892520.2627445</v>
      </c>
      <c r="Z16" s="22" t="n">
        <f aca="false">Z9-Z15</f>
        <v>101299120.928331</v>
      </c>
      <c r="AA16" s="22" t="n">
        <f aca="false">AA9-AA15</f>
        <v>114144466.099157</v>
      </c>
      <c r="AB16" s="22" t="n">
        <f aca="false">AB9-AB15</f>
        <v>123830651.467095</v>
      </c>
      <c r="AC16" s="22" t="n">
        <f aca="false">AC9-AC15</f>
        <v>133772466.982867</v>
      </c>
      <c r="AD16" s="22" t="n">
        <f aca="false">AD9-AD15</f>
        <v>141281005.109514</v>
      </c>
      <c r="AE16" s="22" t="n">
        <f aca="false">AE9-AE15</f>
        <v>149589585.194317</v>
      </c>
      <c r="AF16" s="22" t="n">
        <f aca="false">AF9-AF15</f>
        <v>155873196.747738</v>
      </c>
      <c r="AG16" s="22" t="n">
        <f aca="false">AG9-AG15</f>
        <v>161763081.902622</v>
      </c>
      <c r="AH16" s="22" t="n">
        <f aca="false">AH9-AH15</f>
        <v>167357672.258603</v>
      </c>
      <c r="AI16" s="22" t="n">
        <f aca="false">AI9-AI15</f>
        <v>172730791.515407</v>
      </c>
      <c r="AJ16" s="22" t="n">
        <f aca="false">AJ9-AJ15</f>
        <v>177937807.447828</v>
      </c>
      <c r="AK16" s="22" t="n">
        <f aca="false">AK9-AK15</f>
        <v>183020245.886962</v>
      </c>
      <c r="AL16" s="22" t="n">
        <f aca="false">AL9-AL15</f>
        <v>189509251.20613</v>
      </c>
    </row>
    <row r="17" customFormat="false" ht="15" hidden="false" customHeight="true" outlineLevel="0" collapsed="false">
      <c r="A17" s="9" t="s">
        <v>183</v>
      </c>
      <c r="B17" s="13" t="s">
        <v>184</v>
      </c>
      <c r="C17" s="16" t="n">
        <f aca="false">IF(C9=0,0,C16/C9)</f>
        <v>-4.2777259686333</v>
      </c>
      <c r="D17" s="16" t="n">
        <f aca="false">IF(D9=0,0,D16/D9)</f>
        <v>-0.400308650062914</v>
      </c>
      <c r="E17" s="16" t="n">
        <f aca="false">IF(E9=0,0,E16/E9)</f>
        <v>0.527073245273301</v>
      </c>
      <c r="F17" s="16" t="n">
        <f aca="false">IF(F9=0,0,F16/F9)</f>
        <v>0.620269441612914</v>
      </c>
      <c r="G17" s="16" t="n">
        <f aca="false">IF(G9=0,0,G16/G9)</f>
        <v>0.715456744520079</v>
      </c>
      <c r="H17" s="16" t="n">
        <f aca="false">IF(H9=0,0,H16/H9)</f>
        <v>0.729813622803358</v>
      </c>
      <c r="I17" s="16" t="n">
        <f aca="false">IF(I9=0,0,I16/I9)</f>
        <v>0.797071528303495</v>
      </c>
      <c r="J17" s="16" t="n">
        <f aca="false">IF(J9=0,0,J16/J9)</f>
        <v>0.804376523477732</v>
      </c>
      <c r="K17" s="16" t="n">
        <f aca="false">IF(K9=0,0,K16/K9)</f>
        <v>0.821670126923698</v>
      </c>
      <c r="L17" s="16" t="n">
        <f aca="false">IF(L9=0,0,L16/L9)</f>
        <v>0.826311261347021</v>
      </c>
      <c r="M17" s="16" t="n">
        <f aca="false">IF(M9=0,0,M16/M9)</f>
        <v>0.836814965881534</v>
      </c>
      <c r="N17" s="16" t="n">
        <f aca="false">IF(N9=0,0,N16/N9)</f>
        <v>0.838121868496472</v>
      </c>
      <c r="O17" s="16" t="n">
        <f aca="false">IF(O9=0,0,O16/O9)</f>
        <v>0.845338603913539</v>
      </c>
      <c r="P17" s="16" t="n">
        <f aca="false">IF(P9=0,0,P16/P9)</f>
        <v>0.850468516265148</v>
      </c>
      <c r="Q17" s="16" t="n">
        <f aca="false">IF(Q9=0,0,Q16/Q9)</f>
        <v>0.850526503407149</v>
      </c>
      <c r="R17" s="16" t="n">
        <f aca="false">IF(R9=0,0,R16/R9)</f>
        <v>0.854266604904068</v>
      </c>
      <c r="S17" s="16" t="n">
        <f aca="false">IF(S9=0,0,S16/S9)</f>
        <v>0.857440161818031</v>
      </c>
      <c r="T17" s="16" t="n">
        <f aca="false">IF(T9=0,0,T16/T9)</f>
        <v>0.860207123275742</v>
      </c>
      <c r="U17" s="16" t="n">
        <f aca="false">IF(U9=0,0,U16/U9)</f>
        <v>0.861820850401768</v>
      </c>
      <c r="V17" s="16" t="n">
        <f aca="false">IF(V9=0,0,V16/V9)</f>
        <v>0.863260526875318</v>
      </c>
      <c r="W17" s="16" t="n">
        <f aca="false">IF(W9=0,0,W16/W9)</f>
        <v>0.864588747432694</v>
      </c>
      <c r="X17" s="16" t="n">
        <f aca="false">IF(X9=0,0,X16/X9)</f>
        <v>0.86583405003074</v>
      </c>
      <c r="Y17" s="16" t="n">
        <f aca="false">IF(Y9=0,0,Y16/Y9)</f>
        <v>0.867010561607149</v>
      </c>
      <c r="Z17" s="16" t="n">
        <f aca="false">IF(Z9=0,0,Z16/Z9)</f>
        <v>0.868098537179093</v>
      </c>
      <c r="AA17" s="16" t="n">
        <f aca="false">IF(AA9=0,0,AA16/AA9)</f>
        <v>0.869624840718586</v>
      </c>
      <c r="AB17" s="16" t="n">
        <f aca="false">IF(AB9=0,0,AB16/AB9)</f>
        <v>0.869754368665793</v>
      </c>
      <c r="AC17" s="16" t="n">
        <f aca="false">IF(AC9=0,0,AC16/AC9)</f>
        <v>0.871314219762122</v>
      </c>
      <c r="AD17" s="16" t="n">
        <f aca="false">IF(AD9=0,0,AD16/AD9)</f>
        <v>0.871629475097407</v>
      </c>
      <c r="AE17" s="16" t="n">
        <f aca="false">IF(AE9=0,0,AE16/AE9)</f>
        <v>0.873133926235318</v>
      </c>
      <c r="AF17" s="16" t="n">
        <f aca="false">IF(AF9=0,0,AF16/AF9)</f>
        <v>0.873509827794639</v>
      </c>
      <c r="AG17" s="16" t="n">
        <f aca="false">IF(AG9=0,0,AG16/AG9)</f>
        <v>0.873913482148932</v>
      </c>
      <c r="AH17" s="16" t="n">
        <f aca="false">IF(AH9=0,0,AH16/AH9)</f>
        <v>0.874330942015699</v>
      </c>
      <c r="AI17" s="16" t="n">
        <f aca="false">IF(AI9=0,0,AI16/AI9)</f>
        <v>0.874752738582387</v>
      </c>
      <c r="AJ17" s="16" t="n">
        <f aca="false">IF(AJ9=0,0,AJ16/AJ9)</f>
        <v>0.875172435030743</v>
      </c>
      <c r="AK17" s="16" t="n">
        <f aca="false">IF(AK9=0,0,AK16/AK9)</f>
        <v>0.875585692656717</v>
      </c>
      <c r="AL17" s="16" t="n">
        <f aca="false">IF(AL9=0,0,AL16/AL9)</f>
        <v>0.87685033046953</v>
      </c>
    </row>
    <row r="19" customFormat="false" ht="15" hidden="false" customHeight="true" outlineLevel="0" collapsed="false">
      <c r="A19" s="9" t="s">
        <v>185</v>
      </c>
      <c r="B19" s="13" t="s">
        <v>159</v>
      </c>
      <c r="C19" s="22" t="n">
        <f aca="false">SUMPRODUCT((가정!$C$49:$C$55&lt;=C3)*가정!$B$49:$B$55)*(1+가정!$B$41)</f>
        <v>11305000</v>
      </c>
      <c r="D19" s="22" t="n">
        <f aca="false">SUMPRODUCT((가정!$C$49:$C$55&lt;=D3)*가정!$B$49:$B$55)*(1+가정!$B$41)</f>
        <v>11305000</v>
      </c>
      <c r="E19" s="22" t="n">
        <f aca="false">SUMPRODUCT((가정!$C$49:$C$55&lt;=E3)*가정!$B$49:$B$55)*(1+가정!$B$41)</f>
        <v>11305000</v>
      </c>
      <c r="F19" s="22" t="n">
        <f aca="false">SUMPRODUCT((가정!$C$49:$C$55&lt;=F3)*가정!$B$49:$B$55)*(1+가정!$B$41)</f>
        <v>11305000</v>
      </c>
      <c r="G19" s="22" t="n">
        <f aca="false">SUMPRODUCT((가정!$C$49:$C$55&lt;=G3)*가정!$B$49:$B$55)*(1+가정!$B$41)</f>
        <v>11305000</v>
      </c>
      <c r="H19" s="22" t="n">
        <f aca="false">SUMPRODUCT((가정!$C$49:$C$55&lt;=H3)*가정!$B$49:$B$55)*(1+가정!$B$41)</f>
        <v>11305000</v>
      </c>
      <c r="I19" s="22" t="n">
        <f aca="false">SUMPRODUCT((가정!$C$49:$C$55&lt;=I3)*가정!$B$49:$B$55)*(1+가정!$B$41)</f>
        <v>14875000</v>
      </c>
      <c r="J19" s="22" t="n">
        <f aca="false">SUMPRODUCT((가정!$C$49:$C$55&lt;=J3)*가정!$B$49:$B$55)*(1+가정!$B$41)</f>
        <v>14875000</v>
      </c>
      <c r="K19" s="22" t="n">
        <f aca="false">SUMPRODUCT((가정!$C$49:$C$55&lt;=K3)*가정!$B$49:$B$55)*(1+가정!$B$41)</f>
        <v>14875000</v>
      </c>
      <c r="L19" s="22" t="n">
        <f aca="false">SUMPRODUCT((가정!$C$49:$C$55&lt;=L3)*가정!$B$49:$B$55)*(1+가정!$B$41)</f>
        <v>17255000</v>
      </c>
      <c r="M19" s="22" t="n">
        <f aca="false">SUMPRODUCT((가정!$C$49:$C$55&lt;=M3)*가정!$B$49:$B$55)*(1+가정!$B$41)</f>
        <v>17255000</v>
      </c>
      <c r="N19" s="22" t="n">
        <f aca="false">SUMPRODUCT((가정!$C$49:$C$55&lt;=N3)*가정!$B$49:$B$55)*(1+가정!$B$41)</f>
        <v>17255000</v>
      </c>
      <c r="O19" s="22" t="n">
        <f aca="false">SUMPRODUCT((가정!$C$49:$C$55&lt;=O3)*가정!$B$49:$B$55)*(1+가정!$B$41)</f>
        <v>26775000</v>
      </c>
      <c r="P19" s="22" t="n">
        <f aca="false">SUMPRODUCT((가정!$C$49:$C$55&lt;=P3)*가정!$B$49:$B$55)*(1+가정!$B$41)</f>
        <v>26775000</v>
      </c>
      <c r="Q19" s="22" t="n">
        <f aca="false">SUMPRODUCT((가정!$C$49:$C$55&lt;=Q3)*가정!$B$49:$B$55)*(1+가정!$B$41)</f>
        <v>26775000</v>
      </c>
      <c r="R19" s="22" t="n">
        <f aca="false">SUMPRODUCT((가정!$C$49:$C$55&lt;=R3)*가정!$B$49:$B$55)*(1+가정!$B$41)</f>
        <v>26775000</v>
      </c>
      <c r="S19" s="22" t="n">
        <f aca="false">SUMPRODUCT((가정!$C$49:$C$55&lt;=S3)*가정!$B$49:$B$55)*(1+가정!$B$41)</f>
        <v>26775000</v>
      </c>
      <c r="T19" s="22" t="n">
        <f aca="false">SUMPRODUCT((가정!$C$49:$C$55&lt;=T3)*가정!$B$49:$B$55)*(1+가정!$B$41)</f>
        <v>26775000</v>
      </c>
      <c r="U19" s="22" t="n">
        <f aca="false">SUMPRODUCT((가정!$C$49:$C$55&lt;=U3)*가정!$B$49:$B$55)*(1+가정!$B$41)</f>
        <v>26775000</v>
      </c>
      <c r="V19" s="22" t="n">
        <f aca="false">SUMPRODUCT((가정!$C$49:$C$55&lt;=V3)*가정!$B$49:$B$55)*(1+가정!$B$41)</f>
        <v>26775000</v>
      </c>
      <c r="W19" s="22" t="n">
        <f aca="false">SUMPRODUCT((가정!$C$49:$C$55&lt;=W3)*가정!$B$49:$B$55)*(1+가정!$B$41)</f>
        <v>26775000</v>
      </c>
      <c r="X19" s="22" t="n">
        <f aca="false">SUMPRODUCT((가정!$C$49:$C$55&lt;=X3)*가정!$B$49:$B$55)*(1+가정!$B$41)</f>
        <v>26775000</v>
      </c>
      <c r="Y19" s="22" t="n">
        <f aca="false">SUMPRODUCT((가정!$C$49:$C$55&lt;=Y3)*가정!$B$49:$B$55)*(1+가정!$B$41)</f>
        <v>26775000</v>
      </c>
      <c r="Z19" s="22" t="n">
        <f aca="false">SUMPRODUCT((가정!$C$49:$C$55&lt;=Z3)*가정!$B$49:$B$55)*(1+가정!$B$41)</f>
        <v>26775000</v>
      </c>
      <c r="AA19" s="22" t="n">
        <f aca="false">SUMPRODUCT((가정!$C$49:$C$55&lt;=AA3)*가정!$B$49:$B$55)*(1+가정!$B$41)</f>
        <v>26775000</v>
      </c>
      <c r="AB19" s="22" t="n">
        <f aca="false">SUMPRODUCT((가정!$C$49:$C$55&lt;=AB3)*가정!$B$49:$B$55)*(1+가정!$B$41)</f>
        <v>26775000</v>
      </c>
      <c r="AC19" s="22" t="n">
        <f aca="false">SUMPRODUCT((가정!$C$49:$C$55&lt;=AC3)*가정!$B$49:$B$55)*(1+가정!$B$41)</f>
        <v>26775000</v>
      </c>
      <c r="AD19" s="22" t="n">
        <f aca="false">SUMPRODUCT((가정!$C$49:$C$55&lt;=AD3)*가정!$B$49:$B$55)*(1+가정!$B$41)</f>
        <v>26775000</v>
      </c>
      <c r="AE19" s="22" t="n">
        <f aca="false">SUMPRODUCT((가정!$C$49:$C$55&lt;=AE3)*가정!$B$49:$B$55)*(1+가정!$B$41)</f>
        <v>26775000</v>
      </c>
      <c r="AF19" s="22" t="n">
        <f aca="false">SUMPRODUCT((가정!$C$49:$C$55&lt;=AF3)*가정!$B$49:$B$55)*(1+가정!$B$41)</f>
        <v>26775000</v>
      </c>
      <c r="AG19" s="22" t="n">
        <f aca="false">SUMPRODUCT((가정!$C$49:$C$55&lt;=AG3)*가정!$B$49:$B$55)*(1+가정!$B$41)</f>
        <v>26775000</v>
      </c>
      <c r="AH19" s="22" t="n">
        <f aca="false">SUMPRODUCT((가정!$C$49:$C$55&lt;=AH3)*가정!$B$49:$B$55)*(1+가정!$B$41)</f>
        <v>26775000</v>
      </c>
      <c r="AI19" s="22" t="n">
        <f aca="false">SUMPRODUCT((가정!$C$49:$C$55&lt;=AI3)*가정!$B$49:$B$55)*(1+가정!$B$41)</f>
        <v>26775000</v>
      </c>
      <c r="AJ19" s="22" t="n">
        <f aca="false">SUMPRODUCT((가정!$C$49:$C$55&lt;=AJ3)*가정!$B$49:$B$55)*(1+가정!$B$41)</f>
        <v>26775000</v>
      </c>
      <c r="AK19" s="22" t="n">
        <f aca="false">SUMPRODUCT((가정!$C$49:$C$55&lt;=AK3)*가정!$B$49:$B$55)*(1+가정!$B$41)</f>
        <v>26775000</v>
      </c>
      <c r="AL19" s="22" t="n">
        <f aca="false">SUMPRODUCT((가정!$C$49:$C$55&lt;=AL3)*가정!$B$49:$B$55)*(1+가정!$B$41)</f>
        <v>26775000</v>
      </c>
    </row>
    <row r="20" customFormat="false" ht="15" hidden="false" customHeight="true" outlineLevel="0" collapsed="false">
      <c r="A20" s="9" t="s">
        <v>186</v>
      </c>
      <c r="B20" s="13" t="s">
        <v>159</v>
      </c>
      <c r="C20" s="28" t="n">
        <f aca="false">가입자!C11</f>
        <v>0</v>
      </c>
      <c r="D20" s="28" t="n">
        <f aca="false">가입자!D11</f>
        <v>1000000</v>
      </c>
      <c r="E20" s="28" t="n">
        <f aca="false">가입자!E11</f>
        <v>2000000</v>
      </c>
      <c r="F20" s="28" t="n">
        <f aca="false">가입자!F11</f>
        <v>3000000</v>
      </c>
      <c r="G20" s="28" t="n">
        <f aca="false">가입자!G11</f>
        <v>3000000</v>
      </c>
      <c r="H20" s="28" t="n">
        <f aca="false">가입자!H11</f>
        <v>3000000</v>
      </c>
      <c r="I20" s="28" t="n">
        <f aca="false">가입자!I11</f>
        <v>5000000</v>
      </c>
      <c r="J20" s="28" t="n">
        <f aca="false">가입자!J11</f>
        <v>5000000</v>
      </c>
      <c r="K20" s="28" t="n">
        <f aca="false">가입자!K11</f>
        <v>5000000</v>
      </c>
      <c r="L20" s="28" t="n">
        <f aca="false">가입자!L11</f>
        <v>8000000</v>
      </c>
      <c r="M20" s="28" t="n">
        <f aca="false">가입자!M11</f>
        <v>8000000</v>
      </c>
      <c r="N20" s="28" t="n">
        <f aca="false">가입자!N11</f>
        <v>8000000</v>
      </c>
      <c r="O20" s="28" t="n">
        <f aca="false">가입자!O11</f>
        <v>12000000</v>
      </c>
      <c r="P20" s="28" t="n">
        <f aca="false">가입자!P11</f>
        <v>12000000</v>
      </c>
      <c r="Q20" s="28" t="n">
        <f aca="false">가입자!Q11</f>
        <v>12000000</v>
      </c>
      <c r="R20" s="28" t="n">
        <f aca="false">가입자!R11</f>
        <v>12000000</v>
      </c>
      <c r="S20" s="28" t="n">
        <f aca="false">가입자!S11</f>
        <v>12000000</v>
      </c>
      <c r="T20" s="28" t="n">
        <f aca="false">가입자!T11</f>
        <v>12000000</v>
      </c>
      <c r="U20" s="28" t="n">
        <f aca="false">가입자!U11</f>
        <v>20000000</v>
      </c>
      <c r="V20" s="28" t="n">
        <f aca="false">가입자!V11</f>
        <v>20000000</v>
      </c>
      <c r="W20" s="28" t="n">
        <f aca="false">가입자!W11</f>
        <v>20000000</v>
      </c>
      <c r="X20" s="28" t="n">
        <f aca="false">가입자!X11</f>
        <v>20000000</v>
      </c>
      <c r="Y20" s="28" t="n">
        <f aca="false">가입자!Y11</f>
        <v>20000000</v>
      </c>
      <c r="Z20" s="28" t="n">
        <f aca="false">가입자!Z11</f>
        <v>20000000</v>
      </c>
      <c r="AA20" s="28" t="n">
        <f aca="false">가입자!AA11</f>
        <v>30000000</v>
      </c>
      <c r="AB20" s="28" t="n">
        <f aca="false">가입자!AB11</f>
        <v>30000000</v>
      </c>
      <c r="AC20" s="28" t="n">
        <f aca="false">가입자!AC11</f>
        <v>30000000</v>
      </c>
      <c r="AD20" s="28" t="n">
        <f aca="false">가입자!AD11</f>
        <v>30000000</v>
      </c>
      <c r="AE20" s="28" t="n">
        <f aca="false">가입자!AE11</f>
        <v>30000000</v>
      </c>
      <c r="AF20" s="28" t="n">
        <f aca="false">가입자!AF11</f>
        <v>30000000</v>
      </c>
      <c r="AG20" s="28" t="n">
        <f aca="false">가입자!AG11</f>
        <v>30000000</v>
      </c>
      <c r="AH20" s="28" t="n">
        <f aca="false">가입자!AH11</f>
        <v>30000000</v>
      </c>
      <c r="AI20" s="28" t="n">
        <f aca="false">가입자!AI11</f>
        <v>30000000</v>
      </c>
      <c r="AJ20" s="28" t="n">
        <f aca="false">가입자!AJ11</f>
        <v>30000000</v>
      </c>
      <c r="AK20" s="28" t="n">
        <f aca="false">가입자!AK11</f>
        <v>30000000</v>
      </c>
      <c r="AL20" s="28" t="n">
        <f aca="false">가입자!AL11</f>
        <v>30000000</v>
      </c>
    </row>
    <row r="21" customFormat="false" ht="15" hidden="false" customHeight="true" outlineLevel="0" collapsed="false">
      <c r="A21" s="9" t="s">
        <v>187</v>
      </c>
      <c r="B21" s="13" t="s">
        <v>159</v>
      </c>
      <c r="C21" s="22" t="n">
        <f aca="false">가정!$B$57</f>
        <v>2500000</v>
      </c>
      <c r="D21" s="22" t="n">
        <f aca="false">가정!$B$57</f>
        <v>2500000</v>
      </c>
      <c r="E21" s="22" t="n">
        <f aca="false">가정!$B$57</f>
        <v>2500000</v>
      </c>
      <c r="F21" s="22" t="n">
        <f aca="false">가정!$B$57</f>
        <v>2500000</v>
      </c>
      <c r="G21" s="22" t="n">
        <f aca="false">가정!$B$57</f>
        <v>2500000</v>
      </c>
      <c r="H21" s="22" t="n">
        <f aca="false">가정!$B$57</f>
        <v>2500000</v>
      </c>
      <c r="I21" s="22" t="n">
        <f aca="false">가정!$B$57</f>
        <v>2500000</v>
      </c>
      <c r="J21" s="22" t="n">
        <f aca="false">가정!$B$57</f>
        <v>2500000</v>
      </c>
      <c r="K21" s="22" t="n">
        <f aca="false">가정!$B$57</f>
        <v>2500000</v>
      </c>
      <c r="L21" s="22" t="n">
        <f aca="false">가정!$B$57</f>
        <v>2500000</v>
      </c>
      <c r="M21" s="22" t="n">
        <f aca="false">가정!$B$57</f>
        <v>2500000</v>
      </c>
      <c r="N21" s="22" t="n">
        <f aca="false">가정!$B$57</f>
        <v>2500000</v>
      </c>
      <c r="O21" s="22" t="n">
        <f aca="false">가정!$B$57</f>
        <v>2500000</v>
      </c>
      <c r="P21" s="22" t="n">
        <f aca="false">가정!$B$57</f>
        <v>2500000</v>
      </c>
      <c r="Q21" s="22" t="n">
        <f aca="false">가정!$B$57</f>
        <v>2500000</v>
      </c>
      <c r="R21" s="22" t="n">
        <f aca="false">가정!$B$57</f>
        <v>2500000</v>
      </c>
      <c r="S21" s="22" t="n">
        <f aca="false">가정!$B$57</f>
        <v>2500000</v>
      </c>
      <c r="T21" s="22" t="n">
        <f aca="false">가정!$B$57</f>
        <v>2500000</v>
      </c>
      <c r="U21" s="22" t="n">
        <f aca="false">가정!$B$57</f>
        <v>2500000</v>
      </c>
      <c r="V21" s="22" t="n">
        <f aca="false">가정!$B$57</f>
        <v>2500000</v>
      </c>
      <c r="W21" s="22" t="n">
        <f aca="false">가정!$B$57</f>
        <v>2500000</v>
      </c>
      <c r="X21" s="22" t="n">
        <f aca="false">가정!$B$57</f>
        <v>2500000</v>
      </c>
      <c r="Y21" s="22" t="n">
        <f aca="false">가정!$B$57</f>
        <v>2500000</v>
      </c>
      <c r="Z21" s="22" t="n">
        <f aca="false">가정!$B$57</f>
        <v>2500000</v>
      </c>
      <c r="AA21" s="22" t="n">
        <f aca="false">가정!$B$57</f>
        <v>2500000</v>
      </c>
      <c r="AB21" s="22" t="n">
        <f aca="false">가정!$B$57</f>
        <v>2500000</v>
      </c>
      <c r="AC21" s="22" t="n">
        <f aca="false">가정!$B$57</f>
        <v>2500000</v>
      </c>
      <c r="AD21" s="22" t="n">
        <f aca="false">가정!$B$57</f>
        <v>2500000</v>
      </c>
      <c r="AE21" s="22" t="n">
        <f aca="false">가정!$B$57</f>
        <v>2500000</v>
      </c>
      <c r="AF21" s="22" t="n">
        <f aca="false">가정!$B$57</f>
        <v>2500000</v>
      </c>
      <c r="AG21" s="22" t="n">
        <f aca="false">가정!$B$57</f>
        <v>2500000</v>
      </c>
      <c r="AH21" s="22" t="n">
        <f aca="false">가정!$B$57</f>
        <v>2500000</v>
      </c>
      <c r="AI21" s="22" t="n">
        <f aca="false">가정!$B$57</f>
        <v>2500000</v>
      </c>
      <c r="AJ21" s="22" t="n">
        <f aca="false">가정!$B$57</f>
        <v>2500000</v>
      </c>
      <c r="AK21" s="22" t="n">
        <f aca="false">가정!$B$57</f>
        <v>2500000</v>
      </c>
      <c r="AL21" s="22" t="n">
        <f aca="false">가정!$B$57</f>
        <v>2500000</v>
      </c>
    </row>
    <row r="22" customFormat="false" ht="15" hidden="false" customHeight="true" outlineLevel="0" collapsed="false">
      <c r="A22" s="9" t="s">
        <v>188</v>
      </c>
      <c r="B22" s="13" t="s">
        <v>159</v>
      </c>
      <c r="C22" s="22" t="n">
        <f aca="false">SUM(C19:C21)</f>
        <v>13805000</v>
      </c>
      <c r="D22" s="22" t="n">
        <f aca="false">SUM(D19:D21)</f>
        <v>14805000</v>
      </c>
      <c r="E22" s="22" t="n">
        <f aca="false">SUM(E19:E21)</f>
        <v>15805000</v>
      </c>
      <c r="F22" s="22" t="n">
        <f aca="false">SUM(F19:F21)</f>
        <v>16805000</v>
      </c>
      <c r="G22" s="22" t="n">
        <f aca="false">SUM(G19:G21)</f>
        <v>16805000</v>
      </c>
      <c r="H22" s="22" t="n">
        <f aca="false">SUM(H19:H21)</f>
        <v>16805000</v>
      </c>
      <c r="I22" s="22" t="n">
        <f aca="false">SUM(I19:I21)</f>
        <v>22375000</v>
      </c>
      <c r="J22" s="22" t="n">
        <f aca="false">SUM(J19:J21)</f>
        <v>22375000</v>
      </c>
      <c r="K22" s="22" t="n">
        <f aca="false">SUM(K19:K21)</f>
        <v>22375000</v>
      </c>
      <c r="L22" s="22" t="n">
        <f aca="false">SUM(L19:L21)</f>
        <v>27755000</v>
      </c>
      <c r="M22" s="22" t="n">
        <f aca="false">SUM(M19:M21)</f>
        <v>27755000</v>
      </c>
      <c r="N22" s="22" t="n">
        <f aca="false">SUM(N19:N21)</f>
        <v>27755000</v>
      </c>
      <c r="O22" s="22" t="n">
        <f aca="false">SUM(O19:O21)</f>
        <v>41275000</v>
      </c>
      <c r="P22" s="22" t="n">
        <f aca="false">SUM(P19:P21)</f>
        <v>41275000</v>
      </c>
      <c r="Q22" s="22" t="n">
        <f aca="false">SUM(Q19:Q21)</f>
        <v>41275000</v>
      </c>
      <c r="R22" s="22" t="n">
        <f aca="false">SUM(R19:R21)</f>
        <v>41275000</v>
      </c>
      <c r="S22" s="22" t="n">
        <f aca="false">SUM(S19:S21)</f>
        <v>41275000</v>
      </c>
      <c r="T22" s="22" t="n">
        <f aca="false">SUM(T19:T21)</f>
        <v>41275000</v>
      </c>
      <c r="U22" s="22" t="n">
        <f aca="false">SUM(U19:U21)</f>
        <v>49275000</v>
      </c>
      <c r="V22" s="22" t="n">
        <f aca="false">SUM(V19:V21)</f>
        <v>49275000</v>
      </c>
      <c r="W22" s="22" t="n">
        <f aca="false">SUM(W19:W21)</f>
        <v>49275000</v>
      </c>
      <c r="X22" s="22" t="n">
        <f aca="false">SUM(X19:X21)</f>
        <v>49275000</v>
      </c>
      <c r="Y22" s="22" t="n">
        <f aca="false">SUM(Y19:Y21)</f>
        <v>49275000</v>
      </c>
      <c r="Z22" s="22" t="n">
        <f aca="false">SUM(Z19:Z21)</f>
        <v>49275000</v>
      </c>
      <c r="AA22" s="22" t="n">
        <f aca="false">SUM(AA19:AA21)</f>
        <v>59275000</v>
      </c>
      <c r="AB22" s="22" t="n">
        <f aca="false">SUM(AB19:AB21)</f>
        <v>59275000</v>
      </c>
      <c r="AC22" s="22" t="n">
        <f aca="false">SUM(AC19:AC21)</f>
        <v>59275000</v>
      </c>
      <c r="AD22" s="22" t="n">
        <f aca="false">SUM(AD19:AD21)</f>
        <v>59275000</v>
      </c>
      <c r="AE22" s="22" t="n">
        <f aca="false">SUM(AE19:AE21)</f>
        <v>59275000</v>
      </c>
      <c r="AF22" s="22" t="n">
        <f aca="false">SUM(AF19:AF21)</f>
        <v>59275000</v>
      </c>
      <c r="AG22" s="22" t="n">
        <f aca="false">SUM(AG19:AG21)</f>
        <v>59275000</v>
      </c>
      <c r="AH22" s="22" t="n">
        <f aca="false">SUM(AH19:AH21)</f>
        <v>59275000</v>
      </c>
      <c r="AI22" s="22" t="n">
        <f aca="false">SUM(AI19:AI21)</f>
        <v>59275000</v>
      </c>
      <c r="AJ22" s="22" t="n">
        <f aca="false">SUM(AJ19:AJ21)</f>
        <v>59275000</v>
      </c>
      <c r="AK22" s="22" t="n">
        <f aca="false">SUM(AK19:AK21)</f>
        <v>59275000</v>
      </c>
      <c r="AL22" s="22" t="n">
        <f aca="false">SUM(AL19:AL21)</f>
        <v>59275000</v>
      </c>
    </row>
    <row r="24" customFormat="false" ht="15" hidden="false" customHeight="true" outlineLevel="0" collapsed="false">
      <c r="A24" s="4" t="s">
        <v>189</v>
      </c>
      <c r="B24" s="13" t="s">
        <v>159</v>
      </c>
      <c r="C24" s="22" t="n">
        <f aca="false">C16-C22</f>
        <v>-15145371.7662545</v>
      </c>
      <c r="D24" s="22" t="n">
        <f aca="false">D16-D22</f>
        <v>-15326193.4437697</v>
      </c>
      <c r="E24" s="22" t="n">
        <f aca="false">E16-E22</f>
        <v>-13457538.4378576</v>
      </c>
      <c r="F24" s="22" t="n">
        <f aca="false">F16-F22</f>
        <v>-12806590.0362477</v>
      </c>
      <c r="G24" s="22" t="n">
        <f aca="false">G16-G22</f>
        <v>-9938564.61816761</v>
      </c>
      <c r="H24" s="22" t="n">
        <f aca="false">H16-H22</f>
        <v>-8782731.4377348</v>
      </c>
      <c r="I24" s="22" t="n">
        <f aca="false">I16-I22</f>
        <v>-8675766.97955537</v>
      </c>
      <c r="J24" s="22" t="n">
        <f aca="false">J16-J22</f>
        <v>-6393742.5681938</v>
      </c>
      <c r="K24" s="22" t="n">
        <f aca="false">K16-K22</f>
        <v>-2700918.36578172</v>
      </c>
      <c r="L24" s="22" t="n">
        <f aca="false">L16-L22</f>
        <v>-4281464.16349993</v>
      </c>
      <c r="M24" s="22" t="n">
        <f aca="false">M16-M22</f>
        <v>388997.084138699</v>
      </c>
      <c r="N24" s="22" t="n">
        <f aca="false">N16-N22</f>
        <v>3248148.91375856</v>
      </c>
      <c r="O24" s="22" t="n">
        <f aca="false">O16-O22</f>
        <v>-3700894.04740835</v>
      </c>
      <c r="P24" s="22" t="n">
        <f aca="false">P16-P22</f>
        <v>2083629.62560737</v>
      </c>
      <c r="Q24" s="22" t="n">
        <f aca="false">Q16-Q22</f>
        <v>5778328.27426007</v>
      </c>
      <c r="R24" s="22" t="n">
        <f aca="false">R16-R22</f>
        <v>10530658.1546405</v>
      </c>
      <c r="S24" s="22" t="n">
        <f aca="false">S16-S22</f>
        <v>14951211.4588167</v>
      </c>
      <c r="T24" s="22" t="n">
        <f aca="false">T16-T22</f>
        <v>19122932.3308398</v>
      </c>
      <c r="U24" s="22" t="n">
        <f aca="false">U16-U22</f>
        <v>20159038.7221662</v>
      </c>
      <c r="V24" s="22" t="n">
        <f aca="false">V16-V22</f>
        <v>27952859.7075156</v>
      </c>
      <c r="W24" s="22" t="n">
        <f aca="false">W16-W22</f>
        <v>34814966.6383822</v>
      </c>
      <c r="X24" s="22" t="n">
        <f aca="false">X16-X22</f>
        <v>40978288.0283866</v>
      </c>
      <c r="Y24" s="22" t="n">
        <f aca="false">Y16-Y22</f>
        <v>46617520.2627445</v>
      </c>
      <c r="Z24" s="22" t="n">
        <f aca="false">Z16-Z22</f>
        <v>52024120.9283311</v>
      </c>
      <c r="AA24" s="22" t="n">
        <f aca="false">AA16-AA22</f>
        <v>54869466.0991574</v>
      </c>
      <c r="AB24" s="22" t="n">
        <f aca="false">AB16-AB22</f>
        <v>64555651.4670953</v>
      </c>
      <c r="AC24" s="22" t="n">
        <f aca="false">AC16-AC22</f>
        <v>74497466.9828669</v>
      </c>
      <c r="AD24" s="22" t="n">
        <f aca="false">AD16-AD22</f>
        <v>82006005.1095138</v>
      </c>
      <c r="AE24" s="22" t="n">
        <f aca="false">AE16-AE22</f>
        <v>90314585.1943172</v>
      </c>
      <c r="AF24" s="22" t="n">
        <f aca="false">AF16-AF22</f>
        <v>96598196.7477379</v>
      </c>
      <c r="AG24" s="22" t="n">
        <f aca="false">AG16-AG22</f>
        <v>102488081.902622</v>
      </c>
      <c r="AH24" s="22" t="n">
        <f aca="false">AH16-AH22</f>
        <v>108082672.258603</v>
      </c>
      <c r="AI24" s="22" t="n">
        <f aca="false">AI16-AI22</f>
        <v>113455791.515406</v>
      </c>
      <c r="AJ24" s="22" t="n">
        <f aca="false">AJ16-AJ22</f>
        <v>118662807.447828</v>
      </c>
      <c r="AK24" s="22" t="n">
        <f aca="false">AK16-AK22</f>
        <v>123745245.886962</v>
      </c>
      <c r="AL24" s="22" t="n">
        <f aca="false">AL16-AL22</f>
        <v>130234251.20613</v>
      </c>
    </row>
    <row r="25" customFormat="false" ht="15" hidden="false" customHeight="true" outlineLevel="0" collapsed="false">
      <c r="A25" s="9" t="s">
        <v>190</v>
      </c>
      <c r="B25" s="13" t="s">
        <v>159</v>
      </c>
      <c r="C25" s="22" t="n">
        <f aca="false">C24</f>
        <v>-15145371.7662545</v>
      </c>
      <c r="D25" s="22" t="n">
        <f aca="false">C25+D24</f>
        <v>-30471565.2100242</v>
      </c>
      <c r="E25" s="22" t="n">
        <f aca="false">D25+E24</f>
        <v>-43929103.6478818</v>
      </c>
      <c r="F25" s="22" t="n">
        <f aca="false">E25+F24</f>
        <v>-56735693.6841296</v>
      </c>
      <c r="G25" s="22" t="n">
        <f aca="false">F25+G24</f>
        <v>-66674258.3022972</v>
      </c>
      <c r="H25" s="22" t="n">
        <f aca="false">G25+H24</f>
        <v>-75456989.740032</v>
      </c>
      <c r="I25" s="22" t="n">
        <f aca="false">H25+I24</f>
        <v>-84132756.7195873</v>
      </c>
      <c r="J25" s="22" t="n">
        <f aca="false">I25+J24</f>
        <v>-90526499.2877811</v>
      </c>
      <c r="K25" s="22" t="n">
        <f aca="false">J25+K24</f>
        <v>-93227417.6535628</v>
      </c>
      <c r="L25" s="22" t="n">
        <f aca="false">K25+L24</f>
        <v>-97508881.8170628</v>
      </c>
      <c r="M25" s="22" t="n">
        <f aca="false">L25+M24</f>
        <v>-97119884.7329241</v>
      </c>
      <c r="N25" s="22" t="n">
        <f aca="false">M25+N24</f>
        <v>-93871735.8191655</v>
      </c>
      <c r="O25" s="22" t="n">
        <f aca="false">N25+O24</f>
        <v>-97572629.8665739</v>
      </c>
      <c r="P25" s="22" t="n">
        <f aca="false">O25+P24</f>
        <v>-95489000.2409665</v>
      </c>
      <c r="Q25" s="22" t="n">
        <f aca="false">P25+Q24</f>
        <v>-89710671.9667064</v>
      </c>
      <c r="R25" s="22" t="n">
        <f aca="false">Q25+R24</f>
        <v>-79180013.8120659</v>
      </c>
      <c r="S25" s="22" t="n">
        <f aca="false">R25+S24</f>
        <v>-64228802.3532492</v>
      </c>
      <c r="T25" s="22" t="n">
        <f aca="false">S25+T24</f>
        <v>-45105870.0224093</v>
      </c>
      <c r="U25" s="22" t="n">
        <f aca="false">T25+U24</f>
        <v>-24946831.3002431</v>
      </c>
      <c r="V25" s="22" t="n">
        <f aca="false">U25+V24</f>
        <v>3006028.40727253</v>
      </c>
      <c r="W25" s="22" t="n">
        <f aca="false">V25+W24</f>
        <v>37820995.0456547</v>
      </c>
      <c r="X25" s="22" t="n">
        <f aca="false">W25+X24</f>
        <v>78799283.0740413</v>
      </c>
      <c r="Y25" s="22" t="n">
        <f aca="false">X25+Y24</f>
        <v>125416803.336786</v>
      </c>
      <c r="Z25" s="22" t="n">
        <f aca="false">Y25+Z24</f>
        <v>177440924.265117</v>
      </c>
      <c r="AA25" s="22" t="n">
        <f aca="false">Z25+AA24</f>
        <v>232310390.364274</v>
      </c>
      <c r="AB25" s="22" t="n">
        <f aca="false">AA25+AB24</f>
        <v>296866041.83137</v>
      </c>
      <c r="AC25" s="22" t="n">
        <f aca="false">AB25+AC24</f>
        <v>371363508.814237</v>
      </c>
      <c r="AD25" s="22" t="n">
        <f aca="false">AC25+AD24</f>
        <v>453369513.92375</v>
      </c>
      <c r="AE25" s="22" t="n">
        <f aca="false">AD25+AE24</f>
        <v>543684099.118068</v>
      </c>
      <c r="AF25" s="22" t="n">
        <f aca="false">AE25+AF24</f>
        <v>640282295.865805</v>
      </c>
      <c r="AG25" s="22" t="n">
        <f aca="false">AF25+AG24</f>
        <v>742770377.768427</v>
      </c>
      <c r="AH25" s="22" t="n">
        <f aca="false">AG25+AH24</f>
        <v>850853050.02703</v>
      </c>
      <c r="AI25" s="22" t="n">
        <f aca="false">AH25+AI24</f>
        <v>964308841.542436</v>
      </c>
      <c r="AJ25" s="22" t="n">
        <f aca="false">AI25+AJ24</f>
        <v>1082971648.99026</v>
      </c>
      <c r="AK25" s="22" t="n">
        <f aca="false">AJ25+AK24</f>
        <v>1206716894.87723</v>
      </c>
      <c r="AL25" s="22" t="n">
        <f aca="false">AK25+AL24</f>
        <v>1336951146.08336</v>
      </c>
    </row>
    <row r="27" customFormat="false" ht="15" hidden="false" customHeight="true" outlineLevel="0" collapsed="false">
      <c r="A27" s="3" t="s">
        <v>191</v>
      </c>
    </row>
    <row r="28" customFormat="false" ht="15" hidden="false" customHeight="false" outlineLevel="0" collapsed="false">
      <c r="A28" s="23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38" min="3" style="1" width="11"/>
  </cols>
  <sheetData>
    <row r="1" customFormat="false" ht="19.5" hidden="false" customHeight="true" outlineLevel="0" collapsed="false">
      <c r="A1" s="24" t="s">
        <v>193</v>
      </c>
    </row>
    <row r="3" customFormat="false" ht="15" hidden="false" customHeight="true" outlineLevel="0" collapsed="false">
      <c r="A3" s="4" t="s">
        <v>111</v>
      </c>
      <c r="C3" s="25" t="n">
        <v>1</v>
      </c>
      <c r="D3" s="25" t="n">
        <v>2</v>
      </c>
      <c r="E3" s="25" t="n">
        <v>3</v>
      </c>
      <c r="F3" s="25" t="n">
        <v>4</v>
      </c>
      <c r="G3" s="25" t="n">
        <v>5</v>
      </c>
      <c r="H3" s="25" t="n">
        <v>6</v>
      </c>
      <c r="I3" s="25" t="n">
        <v>7</v>
      </c>
      <c r="J3" s="25" t="n">
        <v>8</v>
      </c>
      <c r="K3" s="25" t="n">
        <v>9</v>
      </c>
      <c r="L3" s="25" t="n">
        <v>10</v>
      </c>
      <c r="M3" s="25" t="n">
        <v>11</v>
      </c>
      <c r="N3" s="25" t="n">
        <v>12</v>
      </c>
      <c r="O3" s="25" t="n">
        <v>13</v>
      </c>
      <c r="P3" s="25" t="n">
        <v>14</v>
      </c>
      <c r="Q3" s="25" t="n">
        <v>15</v>
      </c>
      <c r="R3" s="25" t="n">
        <v>16</v>
      </c>
      <c r="S3" s="25" t="n">
        <v>17</v>
      </c>
      <c r="T3" s="25" t="n">
        <v>18</v>
      </c>
      <c r="U3" s="25" t="n">
        <v>19</v>
      </c>
      <c r="V3" s="25" t="n">
        <v>20</v>
      </c>
      <c r="W3" s="25" t="n">
        <v>21</v>
      </c>
      <c r="X3" s="25" t="n">
        <v>22</v>
      </c>
      <c r="Y3" s="25" t="n">
        <v>23</v>
      </c>
      <c r="Z3" s="25" t="n">
        <v>24</v>
      </c>
      <c r="AA3" s="25" t="n">
        <v>25</v>
      </c>
      <c r="AB3" s="25" t="n">
        <v>26</v>
      </c>
      <c r="AC3" s="25" t="n">
        <v>27</v>
      </c>
      <c r="AD3" s="25" t="n">
        <v>28</v>
      </c>
      <c r="AE3" s="25" t="n">
        <v>29</v>
      </c>
      <c r="AF3" s="25" t="n">
        <v>30</v>
      </c>
      <c r="AG3" s="25" t="n">
        <v>31</v>
      </c>
      <c r="AH3" s="25" t="n">
        <v>32</v>
      </c>
      <c r="AI3" s="25" t="n">
        <v>33</v>
      </c>
      <c r="AJ3" s="25" t="n">
        <v>34</v>
      </c>
      <c r="AK3" s="25" t="n">
        <v>35</v>
      </c>
      <c r="AL3" s="25" t="n">
        <v>36</v>
      </c>
    </row>
    <row r="4" customFormat="false" ht="15" hidden="false" customHeight="true" outlineLevel="0" collapsed="false">
      <c r="A4" s="4" t="s">
        <v>112</v>
      </c>
      <c r="C4" s="26" t="s">
        <v>113</v>
      </c>
      <c r="D4" s="26" t="s">
        <v>114</v>
      </c>
      <c r="E4" s="26" t="s">
        <v>115</v>
      </c>
      <c r="F4" s="26" t="s">
        <v>116</v>
      </c>
      <c r="G4" s="26" t="s">
        <v>117</v>
      </c>
      <c r="H4" s="26" t="s">
        <v>118</v>
      </c>
      <c r="I4" s="26" t="s">
        <v>119</v>
      </c>
      <c r="J4" s="26" t="s">
        <v>120</v>
      </c>
      <c r="K4" s="26" t="s">
        <v>121</v>
      </c>
      <c r="L4" s="26" t="s">
        <v>122</v>
      </c>
      <c r="M4" s="26" t="s">
        <v>123</v>
      </c>
      <c r="N4" s="26" t="s">
        <v>124</v>
      </c>
      <c r="O4" s="26" t="s">
        <v>125</v>
      </c>
      <c r="P4" s="26" t="s">
        <v>126</v>
      </c>
      <c r="Q4" s="26" t="s">
        <v>127</v>
      </c>
      <c r="R4" s="26" t="s">
        <v>128</v>
      </c>
      <c r="S4" s="26" t="s">
        <v>129</v>
      </c>
      <c r="T4" s="26" t="s">
        <v>130</v>
      </c>
      <c r="U4" s="26" t="s">
        <v>131</v>
      </c>
      <c r="V4" s="26" t="s">
        <v>132</v>
      </c>
      <c r="W4" s="26" t="s">
        <v>133</v>
      </c>
      <c r="X4" s="26" t="s">
        <v>134</v>
      </c>
      <c r="Y4" s="26" t="s">
        <v>135</v>
      </c>
      <c r="Z4" s="26" t="s">
        <v>136</v>
      </c>
      <c r="AA4" s="26" t="s">
        <v>137</v>
      </c>
      <c r="AB4" s="26" t="s">
        <v>138</v>
      </c>
      <c r="AC4" s="26" t="s">
        <v>139</v>
      </c>
      <c r="AD4" s="26" t="s">
        <v>140</v>
      </c>
      <c r="AE4" s="26" t="s">
        <v>141</v>
      </c>
      <c r="AF4" s="26" t="s">
        <v>142</v>
      </c>
      <c r="AG4" s="26" t="s">
        <v>143</v>
      </c>
      <c r="AH4" s="26" t="s">
        <v>144</v>
      </c>
      <c r="AI4" s="26" t="s">
        <v>145</v>
      </c>
      <c r="AJ4" s="26" t="s">
        <v>146</v>
      </c>
      <c r="AK4" s="26" t="s">
        <v>147</v>
      </c>
      <c r="AL4" s="26" t="s">
        <v>148</v>
      </c>
    </row>
    <row r="6" customFormat="false" ht="15" hidden="false" customHeight="true" outlineLevel="0" collapsed="false">
      <c r="A6" s="17" t="s">
        <v>194</v>
      </c>
      <c r="B6" s="13" t="s">
        <v>159</v>
      </c>
      <c r="C6" s="28" t="n">
        <f aca="false">가입자!C18*가입자!C19+가입자!C20+가입자!C16*가정!$B$14</f>
        <v>344671.2</v>
      </c>
      <c r="D6" s="28" t="n">
        <f aca="false">가입자!D18*가입자!D19+가입자!D20+가입자!D16*가정!$B$14</f>
        <v>1432176.86666667</v>
      </c>
      <c r="E6" s="28" t="n">
        <f aca="false">가입자!E18*가입자!E19+가입자!E20+가입자!E16*가정!$B$14</f>
        <v>3249143.98333333</v>
      </c>
      <c r="F6" s="28" t="n">
        <f aca="false">가입자!F18*가입자!F19+가입자!F20+가입자!F16*가정!$B$14</f>
        <v>5440871.5875</v>
      </c>
      <c r="G6" s="28" t="n">
        <f aca="false">가입자!G18*가입자!G19+가입자!G20+가입자!G16*가정!$B$14</f>
        <v>7257002.890625</v>
      </c>
      <c r="H6" s="28" t="n">
        <f aca="false">가입자!H18*가입자!H19+가입자!H20+가입자!H16*가정!$B$14</f>
        <v>8791436.96796875</v>
      </c>
      <c r="I6" s="28" t="n">
        <f aca="false">가입자!I18*가입자!I19+가입자!I20+가입자!I16*가정!$B$14</f>
        <v>13955651.2337891</v>
      </c>
      <c r="J6" s="28" t="n">
        <f aca="false">가입자!J18*가입자!J19+가입자!J20+가입자!J16*가정!$B$14</f>
        <v>16904669.6253418</v>
      </c>
      <c r="K6" s="28" t="n">
        <f aca="false">가입자!K18*가입자!K19+가입자!K20+가입자!K16*가정!$B$14</f>
        <v>19738416.2190063</v>
      </c>
      <c r="L6" s="28" t="n">
        <f aca="false">가입자!L18*가입자!L19+가입자!L20+가입자!L16*가정!$B$14</f>
        <v>24648381.3642548</v>
      </c>
      <c r="M6" s="28" t="n">
        <f aca="false">가입자!M18*가입자!M19+가입자!M20+가입자!M16*가정!$B$14</f>
        <v>28745510.4231911</v>
      </c>
      <c r="N6" s="28" t="n">
        <f aca="false">가입자!N18*가입자!N19+가입자!N20+가입자!N16*가정!$B$14</f>
        <v>32440340.0173933</v>
      </c>
      <c r="O6" s="28" t="n">
        <f aca="false">가입자!O18*가입자!O19+가입자!O20+가입자!O16*가정!$B$14</f>
        <v>38993445.013045</v>
      </c>
      <c r="P6" s="28" t="n">
        <f aca="false">가입자!P18*가입자!P19+가입자!P20+가입자!P16*가정!$B$14</f>
        <v>44530256.5597837</v>
      </c>
      <c r="Q6" s="28" t="n">
        <f aca="false">가입자!Q18*가입자!Q19+가입자!Q20+가입자!Q16*가정!$B$14</f>
        <v>49304848.0198378</v>
      </c>
      <c r="R6" s="28" t="n">
        <f aca="false">가입자!R18*가입자!R19+가입자!R20+가입자!R16*가정!$B$14</f>
        <v>53507774.4148784</v>
      </c>
      <c r="S6" s="28" t="n">
        <f aca="false">가입자!S18*가입자!S19+가입자!S20+가입자!S16*가정!$B$14</f>
        <v>57281952.0111588</v>
      </c>
      <c r="T6" s="28" t="n">
        <f aca="false">가입자!T18*가입자!T19+가입자!T20+가입자!T16*가정!$B$14</f>
        <v>60734568.0083691</v>
      </c>
      <c r="U6" s="28" t="n">
        <f aca="false">가입자!U18*가입자!U19+가입자!U20+가입자!U16*가정!$B$14</f>
        <v>70473340.4062768</v>
      </c>
      <c r="V6" s="28" t="n">
        <f aca="false">가입자!V18*가입자!V19+가입자!V20+가입자!V16*가정!$B$14</f>
        <v>78606730.1047076</v>
      </c>
      <c r="W6" s="28" t="n">
        <f aca="false">가입자!W18*가입자!W19+가입자!W20+가입자!W16*가정!$B$14</f>
        <v>85536082.7785307</v>
      </c>
      <c r="X6" s="28" t="n">
        <f aca="false">가입자!X18*가입자!X19+가입자!X20+가입자!X16*가정!$B$14</f>
        <v>91562407.683898</v>
      </c>
      <c r="Y6" s="28" t="n">
        <f aca="false">가입자!Y18*가입자!Y19+가입자!Y20+가입자!Y16*가정!$B$14</f>
        <v>96911461.7629235</v>
      </c>
      <c r="Z6" s="28" t="n">
        <f aca="false">가입자!Z18*가입자!Z19+가입자!Z20+가입자!Z16*가정!$B$14</f>
        <v>101959890.322193</v>
      </c>
      <c r="AA6" s="28" t="n">
        <f aca="false">가입자!AA18*가입자!AA19+가입자!AA20+가입자!AA16*가정!$B$14</f>
        <v>114682849.741644</v>
      </c>
      <c r="AB6" s="28" t="n">
        <f aca="false">가입자!AB18*가입자!AB19+가입자!AB20+가입자!AB16*가정!$B$14</f>
        <v>125261707.306233</v>
      </c>
      <c r="AC6" s="28" t="n">
        <f aca="false">가입자!AC18*가입자!AC19+가입자!AC20+가입자!AC16*가정!$B$14</f>
        <v>134232488.479675</v>
      </c>
      <c r="AD6" s="28" t="n">
        <f aca="false">가입자!AD18*가입자!AD19+가입자!AD20+가입자!AD16*가정!$B$14</f>
        <v>141997212.359756</v>
      </c>
      <c r="AE6" s="28" t="n">
        <f aca="false">가입자!AE18*가입자!AE19+가입자!AE20+가입자!AE16*가정!$B$14</f>
        <v>148857393.269817</v>
      </c>
      <c r="AF6" s="28" t="n">
        <f aca="false">가입자!AF18*가입자!AF19+가입자!AF20+가입자!AF16*가정!$B$14</f>
        <v>155039166.952363</v>
      </c>
      <c r="AG6" s="28" t="n">
        <f aca="false">가입자!AG18*가입자!AG19+가입자!AG20+가입자!AG16*가정!$B$14</f>
        <v>160712135.214272</v>
      </c>
      <c r="AH6" s="28" t="n">
        <f aca="false">가입자!AH18*가입자!AH19+가입자!AH20+가입자!AH16*가정!$B$14</f>
        <v>166003499.410704</v>
      </c>
      <c r="AI6" s="28" t="n">
        <f aca="false">가입자!AI18*가입자!AI19+가입자!AI20+가입자!AI16*가정!$B$14</f>
        <v>171008660.558028</v>
      </c>
      <c r="AJ6" s="28" t="n">
        <f aca="false">가입자!AJ18*가입자!AJ19+가입자!AJ20+가입자!AJ16*가정!$B$14</f>
        <v>175799169.418521</v>
      </c>
      <c r="AK6" s="28" t="n">
        <f aca="false">가입자!AK18*가입자!AK19+가입자!AK20+가입자!AK16*가정!$B$14</f>
        <v>180428689.063891</v>
      </c>
      <c r="AL6" s="28" t="n">
        <f aca="false">가입자!AL18*가입자!AL19+가입자!AL20+가입자!AL16*가정!$B$14</f>
        <v>184937466.797918</v>
      </c>
    </row>
    <row r="7" customFormat="false" ht="15" hidden="false" customHeight="true" outlineLevel="0" collapsed="false">
      <c r="A7" s="17" t="s">
        <v>195</v>
      </c>
      <c r="B7" s="13" t="s">
        <v>159</v>
      </c>
      <c r="C7" s="28" t="n">
        <f aca="false">손익!C8*(1+가정!$B$40)</f>
        <v>0</v>
      </c>
      <c r="D7" s="28" t="n">
        <f aca="false">손익!D8*(1+가정!$B$40)</f>
        <v>0</v>
      </c>
      <c r="E7" s="28" t="n">
        <f aca="false">손익!E8*(1+가정!$B$40)</f>
        <v>1650000</v>
      </c>
      <c r="F7" s="28" t="n">
        <f aca="false">손익!F8*(1+가정!$B$40)</f>
        <v>1650000</v>
      </c>
      <c r="G7" s="28" t="n">
        <f aca="false">손익!G8*(1+가정!$B$40)</f>
        <v>3300000</v>
      </c>
      <c r="H7" s="28" t="n">
        <f aca="false">손익!H8*(1+가정!$B$40)</f>
        <v>3300000</v>
      </c>
      <c r="I7" s="28" t="n">
        <f aca="false">손익!I8*(1+가정!$B$40)</f>
        <v>4950000</v>
      </c>
      <c r="J7" s="28" t="n">
        <f aca="false">손익!J8*(1+가정!$B$40)</f>
        <v>4950000</v>
      </c>
      <c r="K7" s="28" t="n">
        <f aca="false">손익!K8*(1+가정!$B$40)</f>
        <v>6600000</v>
      </c>
      <c r="L7" s="28" t="n">
        <f aca="false">손익!L8*(1+가정!$B$40)</f>
        <v>6600000</v>
      </c>
      <c r="M7" s="28" t="n">
        <f aca="false">손익!M8*(1+가정!$B$40)</f>
        <v>8250000</v>
      </c>
      <c r="N7" s="28" t="n">
        <f aca="false">손익!N8*(1+가정!$B$40)</f>
        <v>8250000</v>
      </c>
      <c r="O7" s="28" t="n">
        <f aca="false">손익!O8*(1+가정!$B$40)</f>
        <v>9900000</v>
      </c>
      <c r="P7" s="28" t="n">
        <f aca="false">손익!P8*(1+가정!$B$40)</f>
        <v>11550000</v>
      </c>
      <c r="Q7" s="28" t="n">
        <f aca="false">손익!Q8*(1+가정!$B$40)</f>
        <v>11550000</v>
      </c>
      <c r="R7" s="28" t="n">
        <f aca="false">손익!R8*(1+가정!$B$40)</f>
        <v>13200000</v>
      </c>
      <c r="S7" s="28" t="n">
        <f aca="false">손익!S8*(1+가정!$B$40)</f>
        <v>14850000</v>
      </c>
      <c r="T7" s="28" t="n">
        <f aca="false">손익!T8*(1+가정!$B$40)</f>
        <v>16500000</v>
      </c>
      <c r="U7" s="28" t="n">
        <f aca="false">손익!U8*(1+가정!$B$40)</f>
        <v>18150000</v>
      </c>
      <c r="V7" s="28" t="n">
        <f aca="false">손익!V8*(1+가정!$B$40)</f>
        <v>19800000</v>
      </c>
      <c r="W7" s="28" t="n">
        <f aca="false">손익!W8*(1+가정!$B$40)</f>
        <v>21450000</v>
      </c>
      <c r="X7" s="28" t="n">
        <f aca="false">손익!X8*(1+가정!$B$40)</f>
        <v>23100000</v>
      </c>
      <c r="Y7" s="28" t="n">
        <f aca="false">손익!Y8*(1+가정!$B$40)</f>
        <v>24750000</v>
      </c>
      <c r="Z7" s="28" t="n">
        <f aca="false">손익!Z8*(1+가정!$B$40)</f>
        <v>26400000</v>
      </c>
      <c r="AA7" s="28" t="n">
        <f aca="false">손익!AA8*(1+가정!$B$40)</f>
        <v>29700000</v>
      </c>
      <c r="AB7" s="28" t="n">
        <f aca="false">손익!AB8*(1+가정!$B$40)</f>
        <v>31350000</v>
      </c>
      <c r="AC7" s="28" t="n">
        <f aca="false">손익!AC8*(1+가정!$B$40)</f>
        <v>34650000</v>
      </c>
      <c r="AD7" s="28" t="n">
        <f aca="false">손익!AD8*(1+가정!$B$40)</f>
        <v>36300000</v>
      </c>
      <c r="AE7" s="28" t="n">
        <f aca="false">손익!AE8*(1+가정!$B$40)</f>
        <v>39600000</v>
      </c>
      <c r="AF7" s="28" t="n">
        <f aca="false">손익!AF8*(1+가정!$B$40)</f>
        <v>41250000</v>
      </c>
      <c r="AG7" s="28" t="n">
        <f aca="false">손익!AG8*(1+가정!$B$40)</f>
        <v>42900000</v>
      </c>
      <c r="AH7" s="28" t="n">
        <f aca="false">손익!AH8*(1+가정!$B$40)</f>
        <v>44550000</v>
      </c>
      <c r="AI7" s="28" t="n">
        <f aca="false">손익!AI8*(1+가정!$B$40)</f>
        <v>46200000</v>
      </c>
      <c r="AJ7" s="28" t="n">
        <f aca="false">손익!AJ8*(1+가정!$B$40)</f>
        <v>47850000</v>
      </c>
      <c r="AK7" s="28" t="n">
        <f aca="false">손익!AK8*(1+가정!$B$40)</f>
        <v>49500000</v>
      </c>
      <c r="AL7" s="28" t="n">
        <f aca="false">손익!AL8*(1+가정!$B$40)</f>
        <v>52800000</v>
      </c>
    </row>
    <row r="8" customFormat="false" ht="15" hidden="false" customHeight="true" outlineLevel="0" collapsed="false">
      <c r="A8" s="9" t="s">
        <v>196</v>
      </c>
      <c r="B8" s="13" t="s">
        <v>159</v>
      </c>
      <c r="C8" s="10" t="n">
        <v>0</v>
      </c>
      <c r="D8" s="10" t="n">
        <v>30000000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</row>
    <row r="9" customFormat="false" ht="15" hidden="false" customHeight="true" outlineLevel="0" collapsed="false">
      <c r="A9" s="17" t="s">
        <v>197</v>
      </c>
      <c r="B9" s="13" t="s">
        <v>159</v>
      </c>
      <c r="C9" s="22" t="n">
        <f aca="false">가정!$B$44</f>
        <v>300000000</v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22" t="n">
        <v>0</v>
      </c>
      <c r="J9" s="22" t="n">
        <v>0</v>
      </c>
      <c r="K9" s="22" t="n">
        <v>0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0</v>
      </c>
      <c r="X9" s="22" t="n">
        <v>0</v>
      </c>
      <c r="Y9" s="22" t="n">
        <v>0</v>
      </c>
      <c r="Z9" s="22" t="n">
        <v>0</v>
      </c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0</v>
      </c>
      <c r="AL9" s="22" t="n">
        <v>0</v>
      </c>
    </row>
    <row r="10" customFormat="false" ht="15" hidden="false" customHeight="true" outlineLevel="0" collapsed="false">
      <c r="A10" s="9" t="s">
        <v>198</v>
      </c>
      <c r="B10" s="13" t="s">
        <v>159</v>
      </c>
      <c r="C10" s="22" t="n">
        <f aca="false">SUM(C6:C9)</f>
        <v>300344671.2</v>
      </c>
      <c r="D10" s="22" t="n">
        <f aca="false">SUM(D6:D9)</f>
        <v>31432176.8666667</v>
      </c>
      <c r="E10" s="22" t="n">
        <f aca="false">SUM(E6:E9)</f>
        <v>4899143.98333333</v>
      </c>
      <c r="F10" s="22" t="n">
        <f aca="false">SUM(F6:F9)</f>
        <v>7090871.5875</v>
      </c>
      <c r="G10" s="22" t="n">
        <f aca="false">SUM(G6:G9)</f>
        <v>10557002.890625</v>
      </c>
      <c r="H10" s="22" t="n">
        <f aca="false">SUM(H6:H9)</f>
        <v>12091436.9679688</v>
      </c>
      <c r="I10" s="22" t="n">
        <f aca="false">SUM(I6:I9)</f>
        <v>18905651.2337891</v>
      </c>
      <c r="J10" s="22" t="n">
        <f aca="false">SUM(J6:J9)</f>
        <v>21854669.6253418</v>
      </c>
      <c r="K10" s="22" t="n">
        <f aca="false">SUM(K6:K9)</f>
        <v>26338416.2190063</v>
      </c>
      <c r="L10" s="22" t="n">
        <f aca="false">SUM(L6:L9)</f>
        <v>31248381.3642548</v>
      </c>
      <c r="M10" s="22" t="n">
        <f aca="false">SUM(M6:M9)</f>
        <v>36995510.4231911</v>
      </c>
      <c r="N10" s="22" t="n">
        <f aca="false">SUM(N6:N9)</f>
        <v>40690340.0173933</v>
      </c>
      <c r="O10" s="22" t="n">
        <f aca="false">SUM(O6:O9)</f>
        <v>48893445.013045</v>
      </c>
      <c r="P10" s="22" t="n">
        <f aca="false">SUM(P6:P9)</f>
        <v>56080256.5597837</v>
      </c>
      <c r="Q10" s="22" t="n">
        <f aca="false">SUM(Q6:Q9)</f>
        <v>60854848.0198378</v>
      </c>
      <c r="R10" s="22" t="n">
        <f aca="false">SUM(R6:R9)</f>
        <v>66707774.4148784</v>
      </c>
      <c r="S10" s="22" t="n">
        <f aca="false">SUM(S6:S9)</f>
        <v>72131952.0111588</v>
      </c>
      <c r="T10" s="22" t="n">
        <f aca="false">SUM(T6:T9)</f>
        <v>77234568.0083691</v>
      </c>
      <c r="U10" s="22" t="n">
        <f aca="false">SUM(U6:U9)</f>
        <v>88623340.4062768</v>
      </c>
      <c r="V10" s="22" t="n">
        <f aca="false">SUM(V6:V9)</f>
        <v>98406730.1047076</v>
      </c>
      <c r="W10" s="22" t="n">
        <f aca="false">SUM(W6:W9)</f>
        <v>106986082.778531</v>
      </c>
      <c r="X10" s="22" t="n">
        <f aca="false">SUM(X6:X9)</f>
        <v>114662407.683898</v>
      </c>
      <c r="Y10" s="22" t="n">
        <f aca="false">SUM(Y6:Y9)</f>
        <v>121661461.762924</v>
      </c>
      <c r="Z10" s="22" t="n">
        <f aca="false">SUM(Z6:Z9)</f>
        <v>128359890.322193</v>
      </c>
      <c r="AA10" s="22" t="n">
        <f aca="false">SUM(AA6:AA9)</f>
        <v>144382849.741644</v>
      </c>
      <c r="AB10" s="22" t="n">
        <f aca="false">SUM(AB6:AB9)</f>
        <v>156611707.306233</v>
      </c>
      <c r="AC10" s="22" t="n">
        <f aca="false">SUM(AC6:AC9)</f>
        <v>168882488.479675</v>
      </c>
      <c r="AD10" s="22" t="n">
        <f aca="false">SUM(AD6:AD9)</f>
        <v>178297212.359756</v>
      </c>
      <c r="AE10" s="22" t="n">
        <f aca="false">SUM(AE6:AE9)</f>
        <v>188457393.269817</v>
      </c>
      <c r="AF10" s="22" t="n">
        <f aca="false">SUM(AF6:AF9)</f>
        <v>196289166.952363</v>
      </c>
      <c r="AG10" s="22" t="n">
        <f aca="false">SUM(AG6:AG9)</f>
        <v>203612135.214272</v>
      </c>
      <c r="AH10" s="22" t="n">
        <f aca="false">SUM(AH6:AH9)</f>
        <v>210553499.410704</v>
      </c>
      <c r="AI10" s="22" t="n">
        <f aca="false">SUM(AI6:AI9)</f>
        <v>217208660.558028</v>
      </c>
      <c r="AJ10" s="22" t="n">
        <f aca="false">SUM(AJ6:AJ9)</f>
        <v>223649169.418521</v>
      </c>
      <c r="AK10" s="22" t="n">
        <f aca="false">SUM(AK6:AK9)</f>
        <v>229928689.063891</v>
      </c>
      <c r="AL10" s="22" t="n">
        <f aca="false">SUM(AL6:AL9)</f>
        <v>237737466.797918</v>
      </c>
    </row>
    <row r="12" customFormat="false" ht="15" hidden="false" customHeight="true" outlineLevel="0" collapsed="false">
      <c r="A12" s="9" t="s">
        <v>199</v>
      </c>
      <c r="B12" s="13" t="s">
        <v>159</v>
      </c>
      <c r="C12" s="28" t="n">
        <f aca="false">손익!C15</f>
        <v>1653709.2208</v>
      </c>
      <c r="D12" s="28" t="n">
        <f aca="false">손익!D15</f>
        <v>1823172.41346667</v>
      </c>
      <c r="E12" s="28" t="n">
        <f aca="false">손익!E15</f>
        <v>2106305.69543333</v>
      </c>
      <c r="F12" s="28" t="n">
        <f aca="false">손익!F15</f>
        <v>2447836.933975</v>
      </c>
      <c r="G12" s="28" t="n">
        <f aca="false">손익!G15</f>
        <v>2730839.97328125</v>
      </c>
      <c r="H12" s="28" t="n">
        <f aca="false">손익!H15</f>
        <v>2969946.86316094</v>
      </c>
      <c r="I12" s="28" t="n">
        <f aca="false">손익!I15</f>
        <v>3487722.64663633</v>
      </c>
      <c r="J12" s="28" t="n">
        <f aca="false">손익!J15</f>
        <v>3886624.04577725</v>
      </c>
      <c r="K12" s="28" t="n">
        <f aca="false">손익!K15</f>
        <v>4269933.11033293</v>
      </c>
      <c r="L12" s="28" t="n">
        <f aca="false">손익!L15</f>
        <v>4934083.5855497</v>
      </c>
      <c r="M12" s="28" t="n">
        <f aca="false">손익!M15</f>
        <v>5488285.11876228</v>
      </c>
      <c r="N12" s="28" t="n">
        <f aca="false">손익!N15</f>
        <v>5988069.28387171</v>
      </c>
      <c r="O12" s="28" t="n">
        <f aca="false">손익!O15</f>
        <v>6874480.42290378</v>
      </c>
      <c r="P12" s="28" t="n">
        <f aca="false">손익!P15</f>
        <v>7623421.79237784</v>
      </c>
      <c r="Q12" s="28" t="n">
        <f aca="false">손익!Q15</f>
        <v>8269260.83468338</v>
      </c>
      <c r="R12" s="28" t="n">
        <f aca="false">손익!R15</f>
        <v>8837773.13161253</v>
      </c>
      <c r="S12" s="28" t="n">
        <f aca="false">손익!S15</f>
        <v>9348290.3695094</v>
      </c>
      <c r="T12" s="28" t="n">
        <f aca="false">손익!T15</f>
        <v>9815311.31313205</v>
      </c>
      <c r="U12" s="28" t="n">
        <f aca="false">손익!U15</f>
        <v>11132634.374449</v>
      </c>
      <c r="V12" s="28" t="n">
        <f aca="false">손익!V15</f>
        <v>12232804.0240368</v>
      </c>
      <c r="W12" s="28" t="n">
        <f aca="false">손익!W15</f>
        <v>13170108.6148276</v>
      </c>
      <c r="X12" s="28" t="n">
        <f aca="false">손익!X15</f>
        <v>13985264.4115207</v>
      </c>
      <c r="Y12" s="28" t="n">
        <f aca="false">손익!Y15</f>
        <v>14708808.6126405</v>
      </c>
      <c r="Z12" s="28" t="n">
        <f aca="false">손익!Z15</f>
        <v>15391688.4554804</v>
      </c>
      <c r="AA12" s="28" t="n">
        <f aca="false">손익!AA15</f>
        <v>17112670.0296103</v>
      </c>
      <c r="AB12" s="28" t="n">
        <f aca="false">손익!AB15</f>
        <v>18543627.9022077</v>
      </c>
      <c r="AC12" s="28" t="n">
        <f aca="false">손익!AC15</f>
        <v>19757067.9986558</v>
      </c>
      <c r="AD12" s="28" t="n">
        <f aca="false">손익!AD15</f>
        <v>20807369.7629918</v>
      </c>
      <c r="AE12" s="28" t="n">
        <f aca="false">손익!AE15</f>
        <v>21735317.7782439</v>
      </c>
      <c r="AF12" s="28" t="n">
        <f aca="false">손익!AF15</f>
        <v>22571500.4816829</v>
      </c>
      <c r="AG12" s="28" t="n">
        <f aca="false">손익!AG15</f>
        <v>23338859.2012622</v>
      </c>
      <c r="AH12" s="28" t="n">
        <f aca="false">손익!AH15</f>
        <v>24054599.9329466</v>
      </c>
      <c r="AI12" s="28" t="n">
        <f aca="false">손익!AI15</f>
        <v>24731627.17371</v>
      </c>
      <c r="AJ12" s="28" t="n">
        <f aca="false">손익!AJ15</f>
        <v>25379619.2962825</v>
      </c>
      <c r="AK12" s="28" t="n">
        <f aca="false">손익!AK15</f>
        <v>26005835.0802119</v>
      </c>
      <c r="AL12" s="28" t="n">
        <f aca="false">손익!AL15</f>
        <v>26615718.6101589</v>
      </c>
    </row>
    <row r="13" customFormat="false" ht="15" hidden="false" customHeight="true" outlineLevel="0" collapsed="false">
      <c r="A13" s="9" t="s">
        <v>200</v>
      </c>
      <c r="B13" s="13" t="s">
        <v>159</v>
      </c>
      <c r="C13" s="28" t="n">
        <f aca="false">손익!C22</f>
        <v>13805000</v>
      </c>
      <c r="D13" s="28" t="n">
        <f aca="false">손익!D22</f>
        <v>14805000</v>
      </c>
      <c r="E13" s="28" t="n">
        <f aca="false">손익!E22</f>
        <v>15805000</v>
      </c>
      <c r="F13" s="28" t="n">
        <f aca="false">손익!F22</f>
        <v>16805000</v>
      </c>
      <c r="G13" s="28" t="n">
        <f aca="false">손익!G22</f>
        <v>16805000</v>
      </c>
      <c r="H13" s="28" t="n">
        <f aca="false">손익!H22</f>
        <v>16805000</v>
      </c>
      <c r="I13" s="28" t="n">
        <f aca="false">손익!I22</f>
        <v>22375000</v>
      </c>
      <c r="J13" s="28" t="n">
        <f aca="false">손익!J22</f>
        <v>22375000</v>
      </c>
      <c r="K13" s="28" t="n">
        <f aca="false">손익!K22</f>
        <v>22375000</v>
      </c>
      <c r="L13" s="28" t="n">
        <f aca="false">손익!L22</f>
        <v>27755000</v>
      </c>
      <c r="M13" s="28" t="n">
        <f aca="false">손익!M22</f>
        <v>27755000</v>
      </c>
      <c r="N13" s="28" t="n">
        <f aca="false">손익!N22</f>
        <v>27755000</v>
      </c>
      <c r="O13" s="28" t="n">
        <f aca="false">손익!O22</f>
        <v>41275000</v>
      </c>
      <c r="P13" s="28" t="n">
        <f aca="false">손익!P22</f>
        <v>41275000</v>
      </c>
      <c r="Q13" s="28" t="n">
        <f aca="false">손익!Q22</f>
        <v>41275000</v>
      </c>
      <c r="R13" s="28" t="n">
        <f aca="false">손익!R22</f>
        <v>41275000</v>
      </c>
      <c r="S13" s="28" t="n">
        <f aca="false">손익!S22</f>
        <v>41275000</v>
      </c>
      <c r="T13" s="28" t="n">
        <f aca="false">손익!T22</f>
        <v>41275000</v>
      </c>
      <c r="U13" s="28" t="n">
        <f aca="false">손익!U22</f>
        <v>49275000</v>
      </c>
      <c r="V13" s="28" t="n">
        <f aca="false">손익!V22</f>
        <v>49275000</v>
      </c>
      <c r="W13" s="28" t="n">
        <f aca="false">손익!W22</f>
        <v>49275000</v>
      </c>
      <c r="X13" s="28" t="n">
        <f aca="false">손익!X22</f>
        <v>49275000</v>
      </c>
      <c r="Y13" s="28" t="n">
        <f aca="false">손익!Y22</f>
        <v>49275000</v>
      </c>
      <c r="Z13" s="28" t="n">
        <f aca="false">손익!Z22</f>
        <v>49275000</v>
      </c>
      <c r="AA13" s="28" t="n">
        <f aca="false">손익!AA22</f>
        <v>59275000</v>
      </c>
      <c r="AB13" s="28" t="n">
        <f aca="false">손익!AB22</f>
        <v>59275000</v>
      </c>
      <c r="AC13" s="28" t="n">
        <f aca="false">손익!AC22</f>
        <v>59275000</v>
      </c>
      <c r="AD13" s="28" t="n">
        <f aca="false">손익!AD22</f>
        <v>59275000</v>
      </c>
      <c r="AE13" s="28" t="n">
        <f aca="false">손익!AE22</f>
        <v>59275000</v>
      </c>
      <c r="AF13" s="28" t="n">
        <f aca="false">손익!AF22</f>
        <v>59275000</v>
      </c>
      <c r="AG13" s="28" t="n">
        <f aca="false">손익!AG22</f>
        <v>59275000</v>
      </c>
      <c r="AH13" s="28" t="n">
        <f aca="false">손익!AH22</f>
        <v>59275000</v>
      </c>
      <c r="AI13" s="28" t="n">
        <f aca="false">손익!AI22</f>
        <v>59275000</v>
      </c>
      <c r="AJ13" s="28" t="n">
        <f aca="false">손익!AJ22</f>
        <v>59275000</v>
      </c>
      <c r="AK13" s="28" t="n">
        <f aca="false">손익!AK22</f>
        <v>59275000</v>
      </c>
      <c r="AL13" s="28" t="n">
        <f aca="false">손익!AL22</f>
        <v>59275000</v>
      </c>
    </row>
    <row r="14" customFormat="false" ht="15" hidden="false" customHeight="true" outlineLevel="0" collapsed="false">
      <c r="A14" s="9" t="s">
        <v>201</v>
      </c>
      <c r="B14" s="13" t="s">
        <v>159</v>
      </c>
      <c r="C14" s="22" t="n">
        <v>0</v>
      </c>
      <c r="D14" s="22" t="n">
        <v>0</v>
      </c>
      <c r="E14" s="22" t="n">
        <v>0</v>
      </c>
      <c r="F14" s="22" t="n">
        <f aca="false">MAX(0,(SUM(손익!C9:E9)-SUM(손익!C14:E14)-SUM(손익!C20:E20)-SUM(손익!C21:E21))*가정!$B$40)</f>
        <v>0</v>
      </c>
      <c r="G14" s="22" t="n">
        <v>0</v>
      </c>
      <c r="H14" s="22" t="n">
        <v>0</v>
      </c>
      <c r="I14" s="22" t="n">
        <f aca="false">MAX(0,(SUM(손익!F9:H9)-SUM(손익!F14:H14)-SUM(손익!F20:H20)-SUM(손익!F21:H21))*가정!$B$40)</f>
        <v>573573.767826705</v>
      </c>
      <c r="J14" s="22" t="n">
        <v>0</v>
      </c>
      <c r="K14" s="22" t="n">
        <v>0</v>
      </c>
      <c r="L14" s="22" t="n">
        <f aca="false">MAX(0,(SUM(손익!I9:K9)-SUM(손익!I14:K14)-SUM(손익!I20:K20)-SUM(손익!I21:K21))*가정!$B$40)</f>
        <v>3369885.18892156</v>
      </c>
      <c r="M14" s="22" t="n">
        <v>0</v>
      </c>
      <c r="N14" s="22" t="n">
        <v>0</v>
      </c>
      <c r="O14" s="22" t="n">
        <f aca="false">MAX(0,(SUM(손익!L9:N9)-SUM(손익!L14:N14)-SUM(손익!L20:N20)-SUM(손익!L21:N21))*가정!$B$40)</f>
        <v>6273111.9822581</v>
      </c>
      <c r="P14" s="22" t="n">
        <v>0</v>
      </c>
      <c r="Q14" s="22" t="n">
        <v>0</v>
      </c>
      <c r="R14" s="22" t="n">
        <f aca="false">MAX(0,(SUM(손익!O9:Q9)-SUM(손익!O14:Q14)-SUM(손익!O20:Q20)-SUM(손익!O21:Q21))*가정!$B$40)</f>
        <v>10245322.6902424</v>
      </c>
      <c r="S14" s="22" t="n">
        <v>0</v>
      </c>
      <c r="T14" s="22" t="n">
        <v>0</v>
      </c>
      <c r="U14" s="22" t="n">
        <f aca="false">MAX(0,(SUM(손익!R9:T9)-SUM(손익!R14:T14)-SUM(손익!R20:T20)-SUM(손익!R21:T21))*가정!$B$40)</f>
        <v>14813117.6758551</v>
      </c>
      <c r="V14" s="22" t="n">
        <v>0</v>
      </c>
      <c r="W14" s="22" t="n">
        <v>0</v>
      </c>
      <c r="X14" s="22" t="n">
        <f aca="false">MAX(0,(SUM(손익!U9:W9)-SUM(손익!U14:W14)-SUM(손익!U20:W20)-SUM(손익!U21:W21))*가정!$B$40)</f>
        <v>19498741.2081377</v>
      </c>
      <c r="Y14" s="22" t="n">
        <v>0</v>
      </c>
      <c r="Z14" s="22" t="n">
        <v>0</v>
      </c>
      <c r="AA14" s="22" t="n">
        <f aca="false">MAX(0,(SUM(손익!X9:Z9)-SUM(손익!X14:Z14)-SUM(손익!X20:Z20)-SUM(손익!X21:Z21))*가정!$B$40)</f>
        <v>25923069.0699104</v>
      </c>
      <c r="AB14" s="22" t="n">
        <v>0</v>
      </c>
      <c r="AC14" s="22" t="n">
        <v>0</v>
      </c>
      <c r="AD14" s="22" t="n">
        <f aca="false">MAX(0,(SUM(손익!AA9:AC9)-SUM(손익!AA14:AC14)-SUM(손익!AA20:AC20)-SUM(손익!AA21:AC21))*가정!$B$40)</f>
        <v>32486095.0479593</v>
      </c>
      <c r="AE14" s="22" t="n">
        <v>0</v>
      </c>
      <c r="AF14" s="22" t="n">
        <v>0</v>
      </c>
      <c r="AG14" s="22" t="n">
        <f aca="false">MAX(0,(SUM(손익!AD9:AF9)-SUM(손익!AD14:AF14)-SUM(손익!AD20:AF20)-SUM(손익!AD21:AF21))*가정!$B$40)</f>
        <v>40955797.5074488</v>
      </c>
      <c r="AH14" s="22" t="n">
        <v>0</v>
      </c>
      <c r="AI14" s="22" t="n">
        <v>0</v>
      </c>
      <c r="AJ14" s="22" t="n">
        <f aca="false">MAX(0,(SUM(손익!AG9:AI9)-SUM(손익!AG14:AI14)-SUM(손익!AG20:AI20)-SUM(손익!AG21:AI21))*가정!$B$40)</f>
        <v>47167663.198455</v>
      </c>
      <c r="AK14" s="22" t="n">
        <v>0</v>
      </c>
      <c r="AL14" s="22" t="n">
        <v>0</v>
      </c>
    </row>
    <row r="15" customFormat="false" ht="15" hidden="false" customHeight="true" outlineLevel="0" collapsed="false">
      <c r="A15" s="9" t="s">
        <v>202</v>
      </c>
      <c r="B15" s="13" t="s">
        <v>159</v>
      </c>
      <c r="C15" s="22" t="n">
        <f aca="false">SUM(C12:C14)</f>
        <v>15458709.2208</v>
      </c>
      <c r="D15" s="22" t="n">
        <f aca="false">SUM(D12:D14)</f>
        <v>16628172.4134667</v>
      </c>
      <c r="E15" s="22" t="n">
        <f aca="false">SUM(E12:E14)</f>
        <v>17911305.6954333</v>
      </c>
      <c r="F15" s="22" t="n">
        <f aca="false">SUM(F12:F14)</f>
        <v>19252836.933975</v>
      </c>
      <c r="G15" s="22" t="n">
        <f aca="false">SUM(G12:G14)</f>
        <v>19535839.9732813</v>
      </c>
      <c r="H15" s="22" t="n">
        <f aca="false">SUM(H12:H14)</f>
        <v>19774946.8631609</v>
      </c>
      <c r="I15" s="22" t="n">
        <f aca="false">SUM(I12:I14)</f>
        <v>26436296.414463</v>
      </c>
      <c r="J15" s="22" t="n">
        <f aca="false">SUM(J12:J14)</f>
        <v>26261624.0457772</v>
      </c>
      <c r="K15" s="22" t="n">
        <f aca="false">SUM(K12:K14)</f>
        <v>26644933.1103329</v>
      </c>
      <c r="L15" s="22" t="n">
        <f aca="false">SUM(L12:L14)</f>
        <v>36058968.7744713</v>
      </c>
      <c r="M15" s="22" t="n">
        <f aca="false">SUM(M12:M14)</f>
        <v>33243285.1187623</v>
      </c>
      <c r="N15" s="22" t="n">
        <f aca="false">SUM(N12:N14)</f>
        <v>33743069.2838717</v>
      </c>
      <c r="O15" s="22" t="n">
        <f aca="false">SUM(O12:O14)</f>
        <v>54422592.4051619</v>
      </c>
      <c r="P15" s="22" t="n">
        <f aca="false">SUM(P12:P14)</f>
        <v>48898421.7923778</v>
      </c>
      <c r="Q15" s="22" t="n">
        <f aca="false">SUM(Q12:Q14)</f>
        <v>49544260.8346834</v>
      </c>
      <c r="R15" s="22" t="n">
        <f aca="false">SUM(R12:R14)</f>
        <v>60358095.8218549</v>
      </c>
      <c r="S15" s="22" t="n">
        <f aca="false">SUM(S12:S14)</f>
        <v>50623290.3695094</v>
      </c>
      <c r="T15" s="22" t="n">
        <f aca="false">SUM(T12:T14)</f>
        <v>51090311.3131321</v>
      </c>
      <c r="U15" s="22" t="n">
        <f aca="false">SUM(U12:U14)</f>
        <v>75220752.0503041</v>
      </c>
      <c r="V15" s="22" t="n">
        <f aca="false">SUM(V12:V14)</f>
        <v>61507804.0240368</v>
      </c>
      <c r="W15" s="22" t="n">
        <f aca="false">SUM(W12:W14)</f>
        <v>62445108.6148276</v>
      </c>
      <c r="X15" s="22" t="n">
        <f aca="false">SUM(X12:X14)</f>
        <v>82759005.6196584</v>
      </c>
      <c r="Y15" s="22" t="n">
        <f aca="false">SUM(Y12:Y14)</f>
        <v>63983808.6126405</v>
      </c>
      <c r="Z15" s="22" t="n">
        <f aca="false">SUM(Z12:Z14)</f>
        <v>64666688.4554804</v>
      </c>
      <c r="AA15" s="22" t="n">
        <f aca="false">SUM(AA12:AA14)</f>
        <v>102310739.099521</v>
      </c>
      <c r="AB15" s="22" t="n">
        <f aca="false">SUM(AB12:AB14)</f>
        <v>77818627.9022077</v>
      </c>
      <c r="AC15" s="22" t="n">
        <f aca="false">SUM(AC12:AC14)</f>
        <v>79032067.9986558</v>
      </c>
      <c r="AD15" s="22" t="n">
        <f aca="false">SUM(AD12:AD14)</f>
        <v>112568464.810951</v>
      </c>
      <c r="AE15" s="22" t="n">
        <f aca="false">SUM(AE12:AE14)</f>
        <v>81010317.7782439</v>
      </c>
      <c r="AF15" s="22" t="n">
        <f aca="false">SUM(AF12:AF14)</f>
        <v>81846500.4816829</v>
      </c>
      <c r="AG15" s="22" t="n">
        <f aca="false">SUM(AG12:AG14)</f>
        <v>123569656.708711</v>
      </c>
      <c r="AH15" s="22" t="n">
        <f aca="false">SUM(AH12:AH14)</f>
        <v>83329599.9329466</v>
      </c>
      <c r="AI15" s="22" t="n">
        <f aca="false">SUM(AI12:AI14)</f>
        <v>84006627.17371</v>
      </c>
      <c r="AJ15" s="22" t="n">
        <f aca="false">SUM(AJ12:AJ14)</f>
        <v>131822282.494737</v>
      </c>
      <c r="AK15" s="22" t="n">
        <f aca="false">SUM(AK12:AK14)</f>
        <v>85280835.0802119</v>
      </c>
      <c r="AL15" s="22" t="n">
        <f aca="false">SUM(AL12:AL14)</f>
        <v>85890718.6101589</v>
      </c>
    </row>
    <row r="17" customFormat="false" ht="15" hidden="false" customHeight="true" outlineLevel="0" collapsed="false">
      <c r="A17" s="9" t="s">
        <v>203</v>
      </c>
      <c r="B17" s="13" t="s">
        <v>159</v>
      </c>
      <c r="C17" s="22" t="n">
        <f aca="false">C10-C15</f>
        <v>284885961.9792</v>
      </c>
      <c r="D17" s="22" t="n">
        <f aca="false">D10-D15</f>
        <v>14804004.4532</v>
      </c>
      <c r="E17" s="22" t="n">
        <f aca="false">E10-E15</f>
        <v>-13012161.7121</v>
      </c>
      <c r="F17" s="22" t="n">
        <f aca="false">F10-F15</f>
        <v>-12161965.346475</v>
      </c>
      <c r="G17" s="22" t="n">
        <f aca="false">G10-G15</f>
        <v>-8978837.08265625</v>
      </c>
      <c r="H17" s="22" t="n">
        <f aca="false">H10-H15</f>
        <v>-7683509.89519219</v>
      </c>
      <c r="I17" s="22" t="n">
        <f aca="false">I10-I15</f>
        <v>-7530645.18067398</v>
      </c>
      <c r="J17" s="22" t="n">
        <f aca="false">J10-J15</f>
        <v>-4406954.42043545</v>
      </c>
      <c r="K17" s="22" t="n">
        <f aca="false">K10-K15</f>
        <v>-306516.891326595</v>
      </c>
      <c r="L17" s="22" t="n">
        <f aca="false">L10-L15</f>
        <v>-4810587.41021651</v>
      </c>
      <c r="M17" s="22" t="n">
        <f aca="false">M10-M15</f>
        <v>3752225.30442879</v>
      </c>
      <c r="N17" s="22" t="n">
        <f aca="false">N10-N15</f>
        <v>6947270.7335216</v>
      </c>
      <c r="O17" s="22" t="n">
        <f aca="false">O10-O15</f>
        <v>-5529147.3921169</v>
      </c>
      <c r="P17" s="22" t="n">
        <f aca="false">P10-P15</f>
        <v>7181834.7674059</v>
      </c>
      <c r="Q17" s="22" t="n">
        <f aca="false">Q10-Q15</f>
        <v>11310587.1851544</v>
      </c>
      <c r="R17" s="22" t="n">
        <f aca="false">R10-R15</f>
        <v>6349678.59302342</v>
      </c>
      <c r="S17" s="22" t="n">
        <f aca="false">S10-S15</f>
        <v>21508661.6416494</v>
      </c>
      <c r="T17" s="22" t="n">
        <f aca="false">T10-T15</f>
        <v>26144256.695237</v>
      </c>
      <c r="U17" s="22" t="n">
        <f aca="false">U10-U15</f>
        <v>13402588.3559727</v>
      </c>
      <c r="V17" s="22" t="n">
        <f aca="false">V10-V15</f>
        <v>36898926.0806708</v>
      </c>
      <c r="W17" s="22" t="n">
        <f aca="false">W10-W15</f>
        <v>44540974.1637031</v>
      </c>
      <c r="X17" s="22" t="n">
        <f aca="false">X10-X15</f>
        <v>31903402.0642396</v>
      </c>
      <c r="Y17" s="22" t="n">
        <f aca="false">Y10-Y15</f>
        <v>57677653.150283</v>
      </c>
      <c r="Z17" s="22" t="n">
        <f aca="false">Z10-Z15</f>
        <v>63693201.8667122</v>
      </c>
      <c r="AA17" s="22" t="n">
        <f aca="false">AA10-AA15</f>
        <v>42072110.6421238</v>
      </c>
      <c r="AB17" s="22" t="n">
        <f aca="false">AB10-AB15</f>
        <v>78793079.4040256</v>
      </c>
      <c r="AC17" s="22" t="n">
        <f aca="false">AC10-AC15</f>
        <v>89850420.4810192</v>
      </c>
      <c r="AD17" s="22" t="n">
        <f aca="false">AD10-AD15</f>
        <v>65728747.5488051</v>
      </c>
      <c r="AE17" s="22" t="n">
        <f aca="false">AE10-AE15</f>
        <v>107447075.491573</v>
      </c>
      <c r="AF17" s="22" t="n">
        <f aca="false">AF10-AF15</f>
        <v>114442666.47068</v>
      </c>
      <c r="AG17" s="22" t="n">
        <f aca="false">AG10-AG15</f>
        <v>80042478.5055613</v>
      </c>
      <c r="AH17" s="22" t="n">
        <f aca="false">AH10-AH15</f>
        <v>127223899.477758</v>
      </c>
      <c r="AI17" s="22" t="n">
        <f aca="false">AI10-AI15</f>
        <v>133202033.384318</v>
      </c>
      <c r="AJ17" s="22" t="n">
        <f aca="false">AJ10-AJ15</f>
        <v>91826886.9237837</v>
      </c>
      <c r="AK17" s="22" t="n">
        <f aca="false">AK10-AK15</f>
        <v>144647853.983679</v>
      </c>
      <c r="AL17" s="22" t="n">
        <f aca="false">AL10-AL15</f>
        <v>151846748.187759</v>
      </c>
    </row>
    <row r="18" customFormat="false" ht="15" hidden="false" customHeight="true" outlineLevel="0" collapsed="false">
      <c r="A18" s="9" t="s">
        <v>204</v>
      </c>
      <c r="B18" s="13" t="s">
        <v>159</v>
      </c>
      <c r="C18" s="22" t="n">
        <v>0</v>
      </c>
      <c r="D18" s="22" t="n">
        <f aca="false">C19</f>
        <v>284885961.9792</v>
      </c>
      <c r="E18" s="22" t="n">
        <f aca="false">D19</f>
        <v>299689966.4324</v>
      </c>
      <c r="F18" s="22" t="n">
        <f aca="false">E19</f>
        <v>286677804.7203</v>
      </c>
      <c r="G18" s="22" t="n">
        <f aca="false">F19</f>
        <v>274515839.373825</v>
      </c>
      <c r="H18" s="22" t="n">
        <f aca="false">G19</f>
        <v>265537002.291169</v>
      </c>
      <c r="I18" s="22" t="n">
        <f aca="false">H19</f>
        <v>257853492.395977</v>
      </c>
      <c r="J18" s="22" t="n">
        <f aca="false">I19</f>
        <v>250322847.215303</v>
      </c>
      <c r="K18" s="22" t="n">
        <f aca="false">J19</f>
        <v>245915892.794867</v>
      </c>
      <c r="L18" s="22" t="n">
        <f aca="false">K19</f>
        <v>245609375.90354</v>
      </c>
      <c r="M18" s="22" t="n">
        <f aca="false">L19</f>
        <v>240798788.493324</v>
      </c>
      <c r="N18" s="22" t="n">
        <f aca="false">M19</f>
        <v>244551013.797753</v>
      </c>
      <c r="O18" s="22" t="n">
        <f aca="false">N19</f>
        <v>251498284.531274</v>
      </c>
      <c r="P18" s="22" t="n">
        <f aca="false">O19</f>
        <v>245969137.139157</v>
      </c>
      <c r="Q18" s="22" t="n">
        <f aca="false">P19</f>
        <v>253150971.906563</v>
      </c>
      <c r="R18" s="22" t="n">
        <f aca="false">Q19</f>
        <v>264461559.091718</v>
      </c>
      <c r="S18" s="22" t="n">
        <f aca="false">R19</f>
        <v>270811237.684741</v>
      </c>
      <c r="T18" s="22" t="n">
        <f aca="false">S19</f>
        <v>292319899.326391</v>
      </c>
      <c r="U18" s="22" t="n">
        <f aca="false">T19</f>
        <v>318464156.021628</v>
      </c>
      <c r="V18" s="22" t="n">
        <f aca="false">U19</f>
        <v>331866744.3776</v>
      </c>
      <c r="W18" s="22" t="n">
        <f aca="false">V19</f>
        <v>368765670.458271</v>
      </c>
      <c r="X18" s="22" t="n">
        <f aca="false">W19</f>
        <v>413306644.621974</v>
      </c>
      <c r="Y18" s="22" t="n">
        <f aca="false">X19</f>
        <v>445210046.686214</v>
      </c>
      <c r="Z18" s="22" t="n">
        <f aca="false">Y19</f>
        <v>502887699.836497</v>
      </c>
      <c r="AA18" s="22" t="n">
        <f aca="false">Z19</f>
        <v>566580901.703209</v>
      </c>
      <c r="AB18" s="22" t="n">
        <f aca="false">AA19</f>
        <v>608653012.345333</v>
      </c>
      <c r="AC18" s="22" t="n">
        <f aca="false">AB19</f>
        <v>687446091.749358</v>
      </c>
      <c r="AD18" s="22" t="n">
        <f aca="false">AC19</f>
        <v>777296512.230378</v>
      </c>
      <c r="AE18" s="22" t="n">
        <f aca="false">AD19</f>
        <v>843025259.779183</v>
      </c>
      <c r="AF18" s="22" t="n">
        <f aca="false">AE19</f>
        <v>950472335.270756</v>
      </c>
      <c r="AG18" s="22" t="n">
        <f aca="false">AF19</f>
        <v>1064915001.74144</v>
      </c>
      <c r="AH18" s="22" t="n">
        <f aca="false">AG19</f>
        <v>1144957480.247</v>
      </c>
      <c r="AI18" s="22" t="n">
        <f aca="false">AH19</f>
        <v>1272181379.72475</v>
      </c>
      <c r="AJ18" s="22" t="n">
        <f aca="false">AI19</f>
        <v>1405383413.10907</v>
      </c>
      <c r="AK18" s="22" t="n">
        <f aca="false">AJ19</f>
        <v>1497210300.03286</v>
      </c>
      <c r="AL18" s="22" t="n">
        <f aca="false">AK19</f>
        <v>1641858154.01654</v>
      </c>
    </row>
    <row r="19" customFormat="false" ht="15" hidden="false" customHeight="true" outlineLevel="0" collapsed="false">
      <c r="A19" s="4" t="s">
        <v>205</v>
      </c>
      <c r="B19" s="13" t="s">
        <v>159</v>
      </c>
      <c r="C19" s="22" t="n">
        <f aca="false">C17</f>
        <v>284885961.9792</v>
      </c>
      <c r="D19" s="22" t="n">
        <f aca="false">D18+D17</f>
        <v>299689966.4324</v>
      </c>
      <c r="E19" s="22" t="n">
        <f aca="false">E18+E17</f>
        <v>286677804.7203</v>
      </c>
      <c r="F19" s="22" t="n">
        <f aca="false">F18+F17</f>
        <v>274515839.373825</v>
      </c>
      <c r="G19" s="22" t="n">
        <f aca="false">G18+G17</f>
        <v>265537002.291169</v>
      </c>
      <c r="H19" s="22" t="n">
        <f aca="false">H18+H17</f>
        <v>257853492.395977</v>
      </c>
      <c r="I19" s="22" t="n">
        <f aca="false">I18+I17</f>
        <v>250322847.215303</v>
      </c>
      <c r="J19" s="22" t="n">
        <f aca="false">J18+J17</f>
        <v>245915892.794867</v>
      </c>
      <c r="K19" s="22" t="n">
        <f aca="false">K18+K17</f>
        <v>245609375.90354</v>
      </c>
      <c r="L19" s="22" t="n">
        <f aca="false">L18+L17</f>
        <v>240798788.493324</v>
      </c>
      <c r="M19" s="22" t="n">
        <f aca="false">M18+M17</f>
        <v>244551013.797753</v>
      </c>
      <c r="N19" s="22" t="n">
        <f aca="false">N18+N17</f>
        <v>251498284.531274</v>
      </c>
      <c r="O19" s="22" t="n">
        <f aca="false">O18+O17</f>
        <v>245969137.139157</v>
      </c>
      <c r="P19" s="22" t="n">
        <f aca="false">P18+P17</f>
        <v>253150971.906563</v>
      </c>
      <c r="Q19" s="22" t="n">
        <f aca="false">Q18+Q17</f>
        <v>264461559.091718</v>
      </c>
      <c r="R19" s="22" t="n">
        <f aca="false">R18+R17</f>
        <v>270811237.684741</v>
      </c>
      <c r="S19" s="22" t="n">
        <f aca="false">S18+S17</f>
        <v>292319899.326391</v>
      </c>
      <c r="T19" s="22" t="n">
        <f aca="false">T18+T17</f>
        <v>318464156.021628</v>
      </c>
      <c r="U19" s="22" t="n">
        <f aca="false">U18+U17</f>
        <v>331866744.3776</v>
      </c>
      <c r="V19" s="22" t="n">
        <f aca="false">V18+V17</f>
        <v>368765670.458271</v>
      </c>
      <c r="W19" s="22" t="n">
        <f aca="false">W18+W17</f>
        <v>413306644.621974</v>
      </c>
      <c r="X19" s="22" t="n">
        <f aca="false">X18+X17</f>
        <v>445210046.686214</v>
      </c>
      <c r="Y19" s="22" t="n">
        <f aca="false">Y18+Y17</f>
        <v>502887699.836497</v>
      </c>
      <c r="Z19" s="22" t="n">
        <f aca="false">Z18+Z17</f>
        <v>566580901.703209</v>
      </c>
      <c r="AA19" s="22" t="n">
        <f aca="false">AA18+AA17</f>
        <v>608653012.345333</v>
      </c>
      <c r="AB19" s="22" t="n">
        <f aca="false">AB18+AB17</f>
        <v>687446091.749358</v>
      </c>
      <c r="AC19" s="22" t="n">
        <f aca="false">AC18+AC17</f>
        <v>777296512.230378</v>
      </c>
      <c r="AD19" s="22" t="n">
        <f aca="false">AD18+AD17</f>
        <v>843025259.779183</v>
      </c>
      <c r="AE19" s="22" t="n">
        <f aca="false">AE18+AE17</f>
        <v>950472335.270756</v>
      </c>
      <c r="AF19" s="22" t="n">
        <f aca="false">AF18+AF17</f>
        <v>1064915001.74144</v>
      </c>
      <c r="AG19" s="22" t="n">
        <f aca="false">AG18+AG17</f>
        <v>1144957480.247</v>
      </c>
      <c r="AH19" s="22" t="n">
        <f aca="false">AH18+AH17</f>
        <v>1272181379.72475</v>
      </c>
      <c r="AI19" s="22" t="n">
        <f aca="false">AI18+AI17</f>
        <v>1405383413.10907</v>
      </c>
      <c r="AJ19" s="22" t="n">
        <f aca="false">AJ18+AJ17</f>
        <v>1497210300.03286</v>
      </c>
      <c r="AK19" s="22" t="n">
        <f aca="false">AK18+AK17</f>
        <v>1641858154.01654</v>
      </c>
      <c r="AL19" s="22" t="n">
        <f aca="false">AL18+AL17</f>
        <v>1793704902.2043</v>
      </c>
    </row>
    <row r="20" customFormat="false" ht="15" hidden="false" customHeight="true" outlineLevel="0" collapsed="false">
      <c r="A20" s="9" t="s">
        <v>206</v>
      </c>
      <c r="B20" s="11" t="s">
        <v>207</v>
      </c>
      <c r="C20" s="29" t="str">
        <f aca="false">IF(C19&lt;=0,"소진",IF(AVERAGE(C17:C17)&gt;=0,"흑자권",ROUND(C19/ABS(AVERAGE(C17:C17)),1)))</f>
        <v>흑자권</v>
      </c>
      <c r="D20" s="29" t="str">
        <f aca="false">IF(D19&lt;=0,"소진",IF(AVERAGE(C17:D17)&gt;=0,"흑자권",ROUND(D19/ABS(AVERAGE(C17:D17)),1)))</f>
        <v>흑자권</v>
      </c>
      <c r="E20" s="29" t="str">
        <f aca="false">IF(E19&lt;=0,"소진",IF(AVERAGE(C17:E17)&gt;=0,"흑자권",ROUND(E19/ABS(AVERAGE(C17:E17)),1)))</f>
        <v>흑자권</v>
      </c>
      <c r="F20" s="29" t="n">
        <f aca="false">IF(F19&lt;=0,"소진",IF(AVERAGE(D17:F17)&gt;=0,"흑자권",ROUND(F19/ABS(AVERAGE(D17:F17)),1)))</f>
        <v>79.4</v>
      </c>
      <c r="G20" s="29" t="n">
        <f aca="false">IF(G19&lt;=0,"소진",IF(AVERAGE(E17:G17)&gt;=0,"흑자권",ROUND(G19/ABS(AVERAGE(E17:G17)),1)))</f>
        <v>23.3</v>
      </c>
      <c r="H20" s="29" t="n">
        <f aca="false">IF(H19&lt;=0,"소진",IF(AVERAGE(F17:H17)&gt;=0,"흑자권",ROUND(H19/ABS(AVERAGE(F17:H17)),1)))</f>
        <v>26.8</v>
      </c>
      <c r="I20" s="29" t="n">
        <f aca="false">IF(I19&lt;=0,"소진",IF(AVERAGE(G17:I17)&gt;=0,"흑자권",ROUND(I19/ABS(AVERAGE(G17:I17)),1)))</f>
        <v>31</v>
      </c>
      <c r="J20" s="29" t="n">
        <f aca="false">IF(J19&lt;=0,"소진",IF(AVERAGE(H17:J17)&gt;=0,"흑자권",ROUND(J19/ABS(AVERAGE(H17:J17)),1)))</f>
        <v>37.6</v>
      </c>
      <c r="K20" s="29" t="n">
        <f aca="false">IF(K19&lt;=0,"소진",IF(AVERAGE(I17:K17)&gt;=0,"흑자권",ROUND(K19/ABS(AVERAGE(I17:K17)),1)))</f>
        <v>60.2</v>
      </c>
      <c r="L20" s="29" t="n">
        <f aca="false">IF(L19&lt;=0,"소진",IF(AVERAGE(J17:L17)&gt;=0,"흑자권",ROUND(L19/ABS(AVERAGE(J17:L17)),1)))</f>
        <v>75.8</v>
      </c>
      <c r="M20" s="29" t="n">
        <f aca="false">IF(M19&lt;=0,"소진",IF(AVERAGE(K17:M17)&gt;=0,"흑자권",ROUND(M19/ABS(AVERAGE(K17:M17)),1)))</f>
        <v>537.5</v>
      </c>
      <c r="N20" s="29" t="str">
        <f aca="false">IF(N19&lt;=0,"소진",IF(AVERAGE(L17:N17)&gt;=0,"흑자권",ROUND(N19/ABS(AVERAGE(L17:N17)),1)))</f>
        <v>흑자권</v>
      </c>
      <c r="O20" s="29" t="str">
        <f aca="false">IF(O19&lt;=0,"소진",IF(AVERAGE(M17:O17)&gt;=0,"흑자권",ROUND(O19/ABS(AVERAGE(M17:O17)),1)))</f>
        <v>흑자권</v>
      </c>
      <c r="P20" s="29" t="str">
        <f aca="false">IF(P19&lt;=0,"소진",IF(AVERAGE(N17:P17)&gt;=0,"흑자권",ROUND(P19/ABS(AVERAGE(N17:P17)),1)))</f>
        <v>흑자권</v>
      </c>
      <c r="Q20" s="29" t="str">
        <f aca="false">IF(Q19&lt;=0,"소진",IF(AVERAGE(O17:Q17)&gt;=0,"흑자권",ROUND(Q19/ABS(AVERAGE(O17:Q17)),1)))</f>
        <v>흑자권</v>
      </c>
      <c r="R20" s="29" t="str">
        <f aca="false">IF(R19&lt;=0,"소진",IF(AVERAGE(P17:R17)&gt;=0,"흑자권",ROUND(R19/ABS(AVERAGE(P17:R17)),1)))</f>
        <v>흑자권</v>
      </c>
      <c r="S20" s="29" t="str">
        <f aca="false">IF(S19&lt;=0,"소진",IF(AVERAGE(Q17:S17)&gt;=0,"흑자권",ROUND(S19/ABS(AVERAGE(Q17:S17)),1)))</f>
        <v>흑자권</v>
      </c>
      <c r="T20" s="29" t="str">
        <f aca="false">IF(T19&lt;=0,"소진",IF(AVERAGE(R17:T17)&gt;=0,"흑자권",ROUND(T19/ABS(AVERAGE(R17:T17)),1)))</f>
        <v>흑자권</v>
      </c>
      <c r="U20" s="29" t="str">
        <f aca="false">IF(U19&lt;=0,"소진",IF(AVERAGE(S17:U17)&gt;=0,"흑자권",ROUND(U19/ABS(AVERAGE(S17:U17)),1)))</f>
        <v>흑자권</v>
      </c>
      <c r="V20" s="29" t="str">
        <f aca="false">IF(V19&lt;=0,"소진",IF(AVERAGE(T17:V17)&gt;=0,"흑자권",ROUND(V19/ABS(AVERAGE(T17:V17)),1)))</f>
        <v>흑자권</v>
      </c>
      <c r="W20" s="29" t="str">
        <f aca="false">IF(W19&lt;=0,"소진",IF(AVERAGE(U17:W17)&gt;=0,"흑자권",ROUND(W19/ABS(AVERAGE(U17:W17)),1)))</f>
        <v>흑자권</v>
      </c>
      <c r="X20" s="29" t="str">
        <f aca="false">IF(X19&lt;=0,"소진",IF(AVERAGE(V17:X17)&gt;=0,"흑자권",ROUND(X19/ABS(AVERAGE(V17:X17)),1)))</f>
        <v>흑자권</v>
      </c>
      <c r="Y20" s="29" t="str">
        <f aca="false">IF(Y19&lt;=0,"소진",IF(AVERAGE(W17:Y17)&gt;=0,"흑자권",ROUND(Y19/ABS(AVERAGE(W17:Y17)),1)))</f>
        <v>흑자권</v>
      </c>
      <c r="Z20" s="29" t="str">
        <f aca="false">IF(Z19&lt;=0,"소진",IF(AVERAGE(X17:Z17)&gt;=0,"흑자권",ROUND(Z19/ABS(AVERAGE(X17:Z17)),1)))</f>
        <v>흑자권</v>
      </c>
      <c r="AA20" s="29" t="str">
        <f aca="false">IF(AA19&lt;=0,"소진",IF(AVERAGE(Y17:AA17)&gt;=0,"흑자권",ROUND(AA19/ABS(AVERAGE(Y17:AA17)),1)))</f>
        <v>흑자권</v>
      </c>
      <c r="AB20" s="29" t="str">
        <f aca="false">IF(AB19&lt;=0,"소진",IF(AVERAGE(Z17:AB17)&gt;=0,"흑자권",ROUND(AB19/ABS(AVERAGE(Z17:AB17)),1)))</f>
        <v>흑자권</v>
      </c>
      <c r="AC20" s="29" t="str">
        <f aca="false">IF(AC19&lt;=0,"소진",IF(AVERAGE(AA17:AC17)&gt;=0,"흑자권",ROUND(AC19/ABS(AVERAGE(AA17:AC17)),1)))</f>
        <v>흑자권</v>
      </c>
      <c r="AD20" s="29" t="str">
        <f aca="false">IF(AD19&lt;=0,"소진",IF(AVERAGE(AB17:AD17)&gt;=0,"흑자권",ROUND(AD19/ABS(AVERAGE(AB17:AD17)),1)))</f>
        <v>흑자권</v>
      </c>
      <c r="AE20" s="29" t="str">
        <f aca="false">IF(AE19&lt;=0,"소진",IF(AVERAGE(AC17:AE17)&gt;=0,"흑자권",ROUND(AE19/ABS(AVERAGE(AC17:AE17)),1)))</f>
        <v>흑자권</v>
      </c>
      <c r="AF20" s="29" t="str">
        <f aca="false">IF(AF19&lt;=0,"소진",IF(AVERAGE(AD17:AF17)&gt;=0,"흑자권",ROUND(AF19/ABS(AVERAGE(AD17:AF17)),1)))</f>
        <v>흑자권</v>
      </c>
      <c r="AG20" s="29" t="str">
        <f aca="false">IF(AG19&lt;=0,"소진",IF(AVERAGE(AE17:AG17)&gt;=0,"흑자권",ROUND(AG19/ABS(AVERAGE(AE17:AG17)),1)))</f>
        <v>흑자권</v>
      </c>
      <c r="AH20" s="29" t="str">
        <f aca="false">IF(AH19&lt;=0,"소진",IF(AVERAGE(AF17:AH17)&gt;=0,"흑자권",ROUND(AH19/ABS(AVERAGE(AF17:AH17)),1)))</f>
        <v>흑자권</v>
      </c>
      <c r="AI20" s="29" t="str">
        <f aca="false">IF(AI19&lt;=0,"소진",IF(AVERAGE(AG17:AI17)&gt;=0,"흑자권",ROUND(AI19/ABS(AVERAGE(AG17:AI17)),1)))</f>
        <v>흑자권</v>
      </c>
      <c r="AJ20" s="29" t="str">
        <f aca="false">IF(AJ19&lt;=0,"소진",IF(AVERAGE(AH17:AJ17)&gt;=0,"흑자권",ROUND(AJ19/ABS(AVERAGE(AH17:AJ17)),1)))</f>
        <v>흑자권</v>
      </c>
      <c r="AK20" s="29" t="str">
        <f aca="false">IF(AK19&lt;=0,"소진",IF(AVERAGE(AI17:AK17)&gt;=0,"흑자권",ROUND(AK19/ABS(AVERAGE(AI17:AK17)),1)))</f>
        <v>흑자권</v>
      </c>
      <c r="AL20" s="29" t="str">
        <f aca="false">IF(AL19&lt;=0,"소진",IF(AVERAGE(AJ17:AL17)&gt;=0,"흑자권",ROUND(AL19/ABS(AVERAGE(AJ17:AL17)),1)))</f>
        <v>흑자권</v>
      </c>
    </row>
    <row r="21" customFormat="false" ht="15" hidden="false" customHeight="true" outlineLevel="0" collapsed="false">
      <c r="A21" s="17" t="s">
        <v>208</v>
      </c>
      <c r="B21" s="13" t="s">
        <v>159</v>
      </c>
      <c r="C21" s="22" t="n">
        <f aca="false">가입자!C16*가정!$B$14/(1+가정!$B$40)-가입자!C17*가정!$B$14/12/(1+가정!$B$40)</f>
        <v>0</v>
      </c>
      <c r="D21" s="22" t="n">
        <f aca="false">C21+가입자!D16*가정!$B$14/(1+가정!$B$40)-가입자!D17*가정!$B$14/12/(1+가정!$B$40)</f>
        <v>0</v>
      </c>
      <c r="E21" s="22" t="n">
        <f aca="false">D21+가입자!E16*가정!$B$14/(1+가정!$B$40)-가입자!E17*가정!$B$14/12/(1+가정!$B$40)</f>
        <v>0</v>
      </c>
      <c r="F21" s="22" t="n">
        <f aca="false">E21+가입자!F16*가정!$B$14/(1+가정!$B$40)-가입자!F17*가정!$B$14/12/(1+가정!$B$40)</f>
        <v>0</v>
      </c>
      <c r="G21" s="22" t="n">
        <f aca="false">F21+가입자!G16*가정!$B$14/(1+가정!$B$40)-가입자!G17*가정!$B$14/12/(1+가정!$B$40)</f>
        <v>0</v>
      </c>
      <c r="H21" s="22" t="n">
        <f aca="false">G21+가입자!H16*가정!$B$14/(1+가정!$B$40)-가입자!H17*가정!$B$14/12/(1+가정!$B$40)</f>
        <v>0</v>
      </c>
      <c r="I21" s="22" t="n">
        <f aca="false">H21+가입자!I16*가정!$B$14/(1+가정!$B$40)-가입자!I17*가정!$B$14/12/(1+가정!$B$40)</f>
        <v>0</v>
      </c>
      <c r="J21" s="22" t="n">
        <f aca="false">I21+가입자!J16*가정!$B$14/(1+가정!$B$40)-가입자!J17*가정!$B$14/12/(1+가정!$B$40)</f>
        <v>0</v>
      </c>
      <c r="K21" s="22" t="n">
        <f aca="false">J21+가입자!K16*가정!$B$14/(1+가정!$B$40)-가입자!K17*가정!$B$14/12/(1+가정!$B$40)</f>
        <v>0</v>
      </c>
      <c r="L21" s="22" t="n">
        <f aca="false">K21+가입자!L16*가정!$B$14/(1+가정!$B$40)-가입자!L17*가정!$B$14/12/(1+가정!$B$40)</f>
        <v>0</v>
      </c>
      <c r="M21" s="22" t="n">
        <f aca="false">L21+가입자!M16*가정!$B$14/(1+가정!$B$40)-가입자!M17*가정!$B$14/12/(1+가정!$B$40)</f>
        <v>0</v>
      </c>
      <c r="N21" s="22" t="n">
        <f aca="false">M21+가입자!N16*가정!$B$14/(1+가정!$B$40)-가입자!N17*가정!$B$14/12/(1+가정!$B$40)</f>
        <v>0</v>
      </c>
      <c r="O21" s="22" t="n">
        <f aca="false">N21+가입자!O16*가정!$B$14/(1+가정!$B$40)-가입자!O17*가정!$B$14/12/(1+가정!$B$40)</f>
        <v>0</v>
      </c>
      <c r="P21" s="22" t="n">
        <f aca="false">O21+가입자!P16*가정!$B$14/(1+가정!$B$40)-가입자!P17*가정!$B$14/12/(1+가정!$B$40)</f>
        <v>0</v>
      </c>
      <c r="Q21" s="22" t="n">
        <f aca="false">P21+가입자!Q16*가정!$B$14/(1+가정!$B$40)-가입자!Q17*가정!$B$14/12/(1+가정!$B$40)</f>
        <v>0</v>
      </c>
      <c r="R21" s="22" t="n">
        <f aca="false">Q21+가입자!R16*가정!$B$14/(1+가정!$B$40)-가입자!R17*가정!$B$14/12/(1+가정!$B$40)</f>
        <v>0</v>
      </c>
      <c r="S21" s="22" t="n">
        <f aca="false">R21+가입자!S16*가정!$B$14/(1+가정!$B$40)-가입자!S17*가정!$B$14/12/(1+가정!$B$40)</f>
        <v>0</v>
      </c>
      <c r="T21" s="22" t="n">
        <f aca="false">S21+가입자!T16*가정!$B$14/(1+가정!$B$40)-가입자!T17*가정!$B$14/12/(1+가정!$B$40)</f>
        <v>0</v>
      </c>
      <c r="U21" s="22" t="n">
        <f aca="false">T21+가입자!U16*가정!$B$14/(1+가정!$B$40)-가입자!U17*가정!$B$14/12/(1+가정!$B$40)</f>
        <v>0</v>
      </c>
      <c r="V21" s="22" t="n">
        <f aca="false">U21+가입자!V16*가정!$B$14/(1+가정!$B$40)-가입자!V17*가정!$B$14/12/(1+가정!$B$40)</f>
        <v>0</v>
      </c>
      <c r="W21" s="22" t="n">
        <f aca="false">V21+가입자!W16*가정!$B$14/(1+가정!$B$40)-가입자!W17*가정!$B$14/12/(1+가정!$B$40)</f>
        <v>0</v>
      </c>
      <c r="X21" s="22" t="n">
        <f aca="false">W21+가입자!X16*가정!$B$14/(1+가정!$B$40)-가입자!X17*가정!$B$14/12/(1+가정!$B$40)</f>
        <v>0</v>
      </c>
      <c r="Y21" s="22" t="n">
        <f aca="false">X21+가입자!Y16*가정!$B$14/(1+가정!$B$40)-가입자!Y17*가정!$B$14/12/(1+가정!$B$40)</f>
        <v>0</v>
      </c>
      <c r="Z21" s="22" t="n">
        <f aca="false">Y21+가입자!Z16*가정!$B$14/(1+가정!$B$40)-가입자!Z17*가정!$B$14/12/(1+가정!$B$40)</f>
        <v>0</v>
      </c>
      <c r="AA21" s="22" t="n">
        <f aca="false">Z21+가입자!AA16*가정!$B$14/(1+가정!$B$40)-가입자!AA17*가정!$B$14/12/(1+가정!$B$40)</f>
        <v>0</v>
      </c>
      <c r="AB21" s="22" t="n">
        <f aca="false">AA21+가입자!AB16*가정!$B$14/(1+가정!$B$40)-가입자!AB17*가정!$B$14/12/(1+가정!$B$40)</f>
        <v>0</v>
      </c>
      <c r="AC21" s="22" t="n">
        <f aca="false">AB21+가입자!AC16*가정!$B$14/(1+가정!$B$40)-가입자!AC17*가정!$B$14/12/(1+가정!$B$40)</f>
        <v>0</v>
      </c>
      <c r="AD21" s="22" t="n">
        <f aca="false">AC21+가입자!AD16*가정!$B$14/(1+가정!$B$40)-가입자!AD17*가정!$B$14/12/(1+가정!$B$40)</f>
        <v>0</v>
      </c>
      <c r="AE21" s="22" t="n">
        <f aca="false">AD21+가입자!AE16*가정!$B$14/(1+가정!$B$40)-가입자!AE17*가정!$B$14/12/(1+가정!$B$40)</f>
        <v>0</v>
      </c>
      <c r="AF21" s="22" t="n">
        <f aca="false">AE21+가입자!AF16*가정!$B$14/(1+가정!$B$40)-가입자!AF17*가정!$B$14/12/(1+가정!$B$40)</f>
        <v>0</v>
      </c>
      <c r="AG21" s="22" t="n">
        <f aca="false">AF21+가입자!AG16*가정!$B$14/(1+가정!$B$40)-가입자!AG17*가정!$B$14/12/(1+가정!$B$40)</f>
        <v>0</v>
      </c>
      <c r="AH21" s="22" t="n">
        <f aca="false">AG21+가입자!AH16*가정!$B$14/(1+가정!$B$40)-가입자!AH17*가정!$B$14/12/(1+가정!$B$40)</f>
        <v>0</v>
      </c>
      <c r="AI21" s="22" t="n">
        <f aca="false">AH21+가입자!AI16*가정!$B$14/(1+가정!$B$40)-가입자!AI17*가정!$B$14/12/(1+가정!$B$40)</f>
        <v>0</v>
      </c>
      <c r="AJ21" s="22" t="n">
        <f aca="false">AI21+가입자!AJ16*가정!$B$14/(1+가정!$B$40)-가입자!AJ17*가정!$B$14/12/(1+가정!$B$40)</f>
        <v>0</v>
      </c>
      <c r="AK21" s="22" t="n">
        <f aca="false">AJ21+가입자!AK16*가정!$B$14/(1+가정!$B$40)-가입자!AK17*가정!$B$14/12/(1+가정!$B$40)</f>
        <v>0</v>
      </c>
      <c r="AL21" s="22" t="n">
        <f aca="false">AK21+가입자!AL16*가정!$B$14/(1+가정!$B$40)-가입자!AL17*가정!$B$14/12/(1+가정!$B$40)</f>
        <v>0</v>
      </c>
    </row>
    <row r="23" customFormat="false" ht="15" hidden="false" customHeight="true" outlineLevel="0" collapsed="false">
      <c r="A23" s="3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5"/>
  </cols>
  <sheetData>
    <row r="1" customFormat="false" ht="19.5" hidden="false" customHeight="true" outlineLevel="0" collapsed="false">
      <c r="A1" s="24" t="s">
        <v>210</v>
      </c>
    </row>
    <row r="3" customFormat="false" ht="15" hidden="false" customHeight="true" outlineLevel="0" collapsed="false">
      <c r="A3" s="8" t="s">
        <v>211</v>
      </c>
    </row>
    <row r="4" customFormat="false" ht="15" hidden="false" customHeight="true" outlineLevel="0" collapsed="false">
      <c r="A4" s="9" t="s">
        <v>212</v>
      </c>
      <c r="B4" s="28" t="n">
        <f aca="false">가정!$B$8</f>
        <v>25000</v>
      </c>
    </row>
    <row r="5" customFormat="false" ht="15" hidden="false" customHeight="true" outlineLevel="0" collapsed="false">
      <c r="A5" s="9" t="s">
        <v>213</v>
      </c>
      <c r="B5" s="28" t="n">
        <f aca="false">B4/(1+가정!$B$40)</f>
        <v>22727.2727272727</v>
      </c>
    </row>
    <row r="6" customFormat="false" ht="15" hidden="false" customHeight="true" outlineLevel="0" collapsed="false">
      <c r="A6" s="9" t="s">
        <v>214</v>
      </c>
      <c r="B6" s="28" t="n">
        <f aca="false">B4*가정!$B$28+가정!$B$29+가정!$B$67</f>
        <v>3250</v>
      </c>
    </row>
    <row r="7" customFormat="false" ht="15" hidden="false" customHeight="true" outlineLevel="0" collapsed="false">
      <c r="A7" s="9" t="s">
        <v>215</v>
      </c>
      <c r="B7" s="22" t="n">
        <f aca="false">B5-B6</f>
        <v>19477.2727272727</v>
      </c>
    </row>
    <row r="8" customFormat="false" ht="15" hidden="false" customHeight="true" outlineLevel="0" collapsed="false">
      <c r="A8" s="9" t="s">
        <v>216</v>
      </c>
      <c r="B8" s="16" t="n">
        <f aca="false">B7/B5</f>
        <v>0.857</v>
      </c>
    </row>
    <row r="9" customFormat="false" ht="15" hidden="false" customHeight="true" outlineLevel="0" collapsed="false">
      <c r="A9" s="9" t="s">
        <v>217</v>
      </c>
      <c r="B9" s="30" t="n">
        <f aca="false">가정!$B$22</f>
        <v>0.25</v>
      </c>
    </row>
    <row r="10" customFormat="false" ht="15" hidden="false" customHeight="true" outlineLevel="0" collapsed="false">
      <c r="A10" s="9" t="s">
        <v>218</v>
      </c>
      <c r="B10" s="29" t="n">
        <f aca="false">1/B9</f>
        <v>4</v>
      </c>
    </row>
    <row r="11" customFormat="false" ht="15" hidden="false" customHeight="true" outlineLevel="0" collapsed="false">
      <c r="A11" s="9" t="s">
        <v>219</v>
      </c>
      <c r="B11" s="22" t="n">
        <f aca="false">B5*B10</f>
        <v>90909.0909090909</v>
      </c>
    </row>
    <row r="12" customFormat="false" ht="15" hidden="false" customHeight="true" outlineLevel="0" collapsed="false">
      <c r="A12" s="4" t="s">
        <v>220</v>
      </c>
      <c r="B12" s="22" t="n">
        <f aca="false">B7*B10</f>
        <v>77909.0909090909</v>
      </c>
    </row>
    <row r="13" customFormat="false" ht="15" hidden="false" customHeight="true" outlineLevel="0" collapsed="false">
      <c r="A13" s="17" t="s">
        <v>221</v>
      </c>
      <c r="B13" s="28" t="n">
        <f aca="false">가정!$B$25</f>
        <v>30000</v>
      </c>
    </row>
    <row r="14" customFormat="false" ht="15" hidden="false" customHeight="true" outlineLevel="0" collapsed="false">
      <c r="A14" s="17" t="s">
        <v>222</v>
      </c>
      <c r="B14" s="31" t="n">
        <f aca="false">B12/B13</f>
        <v>2.5969696969697</v>
      </c>
    </row>
    <row r="15" customFormat="false" ht="15" hidden="false" customHeight="true" outlineLevel="0" collapsed="false">
      <c r="A15" s="27" t="s">
        <v>223</v>
      </c>
      <c r="B15" s="29" t="n">
        <f aca="false">B13/B7</f>
        <v>1.54025670945158</v>
      </c>
    </row>
    <row r="16" customFormat="false" ht="15" hidden="false" customHeight="true" outlineLevel="0" collapsed="false">
      <c r="A16" s="17" t="s">
        <v>224</v>
      </c>
      <c r="B16" s="22" t="n">
        <f aca="false">B12/3</f>
        <v>25969.696969697</v>
      </c>
    </row>
    <row r="19" customFormat="false" ht="15" hidden="false" customHeight="true" outlineLevel="0" collapsed="false">
      <c r="A19" s="8" t="s">
        <v>225</v>
      </c>
    </row>
    <row r="20" customFormat="false" ht="15" hidden="false" customHeight="true" outlineLevel="0" collapsed="false">
      <c r="C20" s="32" t="n">
        <v>19000</v>
      </c>
      <c r="D20" s="32" t="n">
        <v>25000</v>
      </c>
      <c r="E20" s="32" t="n">
        <v>29000</v>
      </c>
    </row>
    <row r="21" customFormat="false" ht="15" hidden="false" customHeight="true" outlineLevel="0" collapsed="false">
      <c r="B21" s="14" t="n">
        <v>0.15</v>
      </c>
      <c r="C21" s="22" t="n">
        <f aca="false">(C$20/(1+가정!$B$40)-(C$20*가정!$B$28+가정!$B$29+가정!$B$30))/$B21</f>
        <v>102178.181818182</v>
      </c>
      <c r="D21" s="22" t="n">
        <f aca="false">(D$20/(1+가정!$B$40)-(D$20*가정!$B$28+가정!$B$29+가정!$B$30))/$B21</f>
        <v>137181.818181818</v>
      </c>
      <c r="E21" s="22" t="n">
        <f aca="false">(E$20/(1+가정!$B$40)-(E$20*가정!$B$28+가정!$B$29+가정!$B$30))/$B21</f>
        <v>160517.575757576</v>
      </c>
    </row>
    <row r="22" customFormat="false" ht="15" hidden="false" customHeight="true" outlineLevel="0" collapsed="false">
      <c r="B22" s="14" t="n">
        <v>0.2</v>
      </c>
      <c r="C22" s="22" t="n">
        <f aca="false">(C$20/(1+가정!$B$40)-(C$20*가정!$B$28+가정!$B$29+가정!$B$30))/$B22</f>
        <v>76633.6363636364</v>
      </c>
      <c r="D22" s="22" t="n">
        <f aca="false">(D$20/(1+가정!$B$40)-(D$20*가정!$B$28+가정!$B$29+가정!$B$30))/$B22</f>
        <v>102886.363636364</v>
      </c>
      <c r="E22" s="22" t="n">
        <f aca="false">(E$20/(1+가정!$B$40)-(E$20*가정!$B$28+가정!$B$29+가정!$B$30))/$B22</f>
        <v>120388.181818182</v>
      </c>
    </row>
    <row r="23" customFormat="false" ht="15" hidden="false" customHeight="true" outlineLevel="0" collapsed="false">
      <c r="B23" s="14" t="n">
        <v>0.25</v>
      </c>
      <c r="C23" s="22" t="n">
        <f aca="false">(C$20/(1+가정!$B$40)-(C$20*가정!$B$28+가정!$B$29+가정!$B$30))/$B23</f>
        <v>61306.9090909091</v>
      </c>
      <c r="D23" s="22" t="n">
        <f aca="false">(D$20/(1+가정!$B$40)-(D$20*가정!$B$28+가정!$B$29+가정!$B$30))/$B23</f>
        <v>82309.0909090909</v>
      </c>
      <c r="E23" s="22" t="n">
        <f aca="false">(E$20/(1+가정!$B$40)-(E$20*가정!$B$28+가정!$B$29+가정!$B$30))/$B23</f>
        <v>96310.5454545454</v>
      </c>
    </row>
    <row r="24" customFormat="false" ht="15" hidden="false" customHeight="true" outlineLevel="0" collapsed="false">
      <c r="B24" s="14" t="n">
        <v>0.3</v>
      </c>
      <c r="C24" s="22" t="n">
        <f aca="false">(C$20/(1+가정!$B$40)-(C$20*가정!$B$28+가정!$B$29+가정!$B$30))/$B24</f>
        <v>51089.0909090909</v>
      </c>
      <c r="D24" s="22" t="n">
        <f aca="false">(D$20/(1+가정!$B$40)-(D$20*가정!$B$28+가정!$B$29+가정!$B$30))/$B24</f>
        <v>68590.9090909091</v>
      </c>
      <c r="E24" s="22" t="n">
        <f aca="false">(E$20/(1+가정!$B$40)-(E$20*가정!$B$28+가정!$B$29+가정!$B$30))/$B24</f>
        <v>80258.7878787879</v>
      </c>
    </row>
    <row r="25" customFormat="false" ht="15" hidden="false" customHeight="true" outlineLevel="0" collapsed="false">
      <c r="B25" s="14" t="n">
        <v>0.35</v>
      </c>
      <c r="C25" s="22" t="n">
        <f aca="false">(C$20/(1+가정!$B$40)-(C$20*가정!$B$28+가정!$B$29+가정!$B$30))/$B25</f>
        <v>43790.6493506494</v>
      </c>
      <c r="D25" s="22" t="n">
        <f aca="false">(D$20/(1+가정!$B$40)-(D$20*가정!$B$28+가정!$B$29+가정!$B$30))/$B25</f>
        <v>58792.2077922078</v>
      </c>
      <c r="E25" s="22" t="n">
        <f aca="false">(E$20/(1+가정!$B$40)-(E$20*가정!$B$28+가정!$B$29+가정!$B$30))/$B25</f>
        <v>68793.2467532467</v>
      </c>
    </row>
    <row r="28" customFormat="false" ht="15" hidden="false" customHeight="true" outlineLevel="0" collapsed="false">
      <c r="A28" s="8" t="s">
        <v>226</v>
      </c>
    </row>
    <row r="29" customFormat="false" ht="15" hidden="false" customHeight="true" outlineLevel="0" collapsed="false">
      <c r="A29" s="9" t="s">
        <v>227</v>
      </c>
      <c r="B29" s="28" t="n">
        <f aca="false">손익!N19+손익!N21+손익!N14</f>
        <v>21355000</v>
      </c>
    </row>
    <row r="30" customFormat="false" ht="15" hidden="false" customHeight="true" outlineLevel="0" collapsed="false">
      <c r="A30" s="17" t="s">
        <v>228</v>
      </c>
      <c r="B30" s="28" t="n">
        <f aca="false">B29/B7</f>
        <v>1096.40606767795</v>
      </c>
    </row>
    <row r="31" customFormat="false" ht="15" hidden="false" customHeight="true" outlineLevel="0" collapsed="false">
      <c r="A31" s="9" t="s">
        <v>229</v>
      </c>
      <c r="B31" s="28" t="n">
        <f aca="false">손익!N21+손익!N14</f>
        <v>4100000</v>
      </c>
    </row>
    <row r="32" customFormat="false" ht="15" hidden="false" customHeight="true" outlineLevel="0" collapsed="false">
      <c r="A32" s="17" t="s">
        <v>230</v>
      </c>
      <c r="B32" s="28" t="n">
        <f aca="false">B31/B7</f>
        <v>210.501750291715</v>
      </c>
    </row>
    <row r="33" customFormat="false" ht="15" hidden="false" customHeight="true" outlineLevel="0" collapsed="false">
      <c r="A33" s="3" t="s">
        <v>231</v>
      </c>
    </row>
    <row r="35" customFormat="false" ht="15" hidden="false" customHeight="true" outlineLevel="0" collapsed="false">
      <c r="A35" s="8" t="s">
        <v>232</v>
      </c>
    </row>
    <row r="36" customFormat="false" ht="15" hidden="false" customHeight="true" outlineLevel="0" collapsed="false">
      <c r="A36" s="4" t="s">
        <v>233</v>
      </c>
      <c r="B36" s="4" t="s">
        <v>234</v>
      </c>
      <c r="C36" s="4" t="s">
        <v>235</v>
      </c>
      <c r="D36" s="4" t="s">
        <v>236</v>
      </c>
      <c r="E36" s="4" t="s">
        <v>237</v>
      </c>
    </row>
    <row r="37" customFormat="false" ht="15" hidden="false" customHeight="true" outlineLevel="0" collapsed="false">
      <c r="A37" s="17" t="s">
        <v>238</v>
      </c>
      <c r="B37" s="10" t="n">
        <v>20</v>
      </c>
      <c r="C37" s="28" t="n">
        <f aca="false">가입자!D15</f>
        <v>72.6993333333333</v>
      </c>
      <c r="D37" s="9" t="str">
        <f aca="false">IF(C37&gt;=B37,"달성","미달")</f>
        <v>달성</v>
      </c>
      <c r="E37" s="22" t="n">
        <f aca="false">C37-B37</f>
        <v>52.6993333333333</v>
      </c>
    </row>
    <row r="38" customFormat="false" ht="15" hidden="false" customHeight="true" outlineLevel="0" collapsed="false">
      <c r="A38" s="17" t="s">
        <v>239</v>
      </c>
      <c r="B38" s="10" t="n">
        <v>1000</v>
      </c>
      <c r="C38" s="28" t="n">
        <f aca="false">가입자!K15</f>
        <v>832.844566202799</v>
      </c>
      <c r="D38" s="9" t="str">
        <f aca="false">IF(C38&gt;=B38,"달성","미달")</f>
        <v>미달</v>
      </c>
      <c r="E38" s="22" t="n">
        <f aca="false">C38-B38</f>
        <v>-167.155433797201</v>
      </c>
    </row>
    <row r="39" customFormat="false" ht="15" hidden="false" customHeight="true" outlineLevel="0" collapsed="false">
      <c r="A39" s="17" t="s">
        <v>240</v>
      </c>
      <c r="B39" s="10" t="n">
        <v>10000</v>
      </c>
      <c r="C39" s="28" t="n">
        <f aca="false">가입자!T15</f>
        <v>2562.64000035313</v>
      </c>
      <c r="D39" s="9" t="str">
        <f aca="false">IF(C39&gt;=B39,"달성","미달")</f>
        <v>미달</v>
      </c>
      <c r="E39" s="22" t="n">
        <f aca="false">C39-B39</f>
        <v>-7437.35999964688</v>
      </c>
    </row>
    <row r="41" customFormat="false" ht="15" hidden="false" customHeight="true" outlineLevel="0" collapsed="false">
      <c r="A41" s="9" t="s">
        <v>241</v>
      </c>
      <c r="B41" s="28" t="n">
        <f aca="false">가입자!K22</f>
        <v>17944014.7445512</v>
      </c>
    </row>
    <row r="42" customFormat="false" ht="15" hidden="false" customHeight="true" outlineLevel="0" collapsed="false">
      <c r="A42" s="17" t="s">
        <v>242</v>
      </c>
      <c r="B42" s="28" t="n">
        <f aca="false">손익!N9*12</f>
        <v>443894618.371563</v>
      </c>
    </row>
    <row r="45" customFormat="false" ht="15" hidden="false" customHeight="true" outlineLevel="0" collapsed="false">
      <c r="A45" s="8" t="s">
        <v>243</v>
      </c>
    </row>
    <row r="46" customFormat="false" ht="15" hidden="false" customHeight="true" outlineLevel="0" collapsed="false">
      <c r="A46" s="9" t="s">
        <v>244</v>
      </c>
      <c r="B46" s="28" t="n">
        <f aca="false">가정!$B$7</f>
        <v>19000</v>
      </c>
    </row>
    <row r="47" customFormat="false" ht="15" hidden="false" customHeight="true" outlineLevel="0" collapsed="false">
      <c r="A47" s="9" t="s">
        <v>245</v>
      </c>
      <c r="B47" s="22" t="n">
        <f aca="false">B46/(1+가정!$B$40)</f>
        <v>17272.7272727273</v>
      </c>
    </row>
    <row r="48" customFormat="false" ht="15" hidden="false" customHeight="true" outlineLevel="0" collapsed="false">
      <c r="A48" s="9" t="s">
        <v>246</v>
      </c>
      <c r="B48" s="22" t="n">
        <f aca="false">B46*가정!$B$28+가정!$B$29+가정!$B$30</f>
        <v>1946</v>
      </c>
    </row>
    <row r="49" customFormat="false" ht="15" hidden="false" customHeight="true" outlineLevel="0" collapsed="false">
      <c r="A49" s="9" t="s">
        <v>247</v>
      </c>
      <c r="B49" s="22" t="n">
        <f aca="false">B47-B48</f>
        <v>15326.7272727273</v>
      </c>
    </row>
    <row r="50" customFormat="false" ht="15" hidden="false" customHeight="true" outlineLevel="0" collapsed="false">
      <c r="A50" s="9" t="s">
        <v>248</v>
      </c>
      <c r="B50" s="22" t="n">
        <f aca="false">B49/가정!$B$22</f>
        <v>61306.9090909091</v>
      </c>
    </row>
    <row r="51" customFormat="false" ht="15" hidden="false" customHeight="true" outlineLevel="0" collapsed="false">
      <c r="A51" s="4" t="s">
        <v>249</v>
      </c>
      <c r="B51" s="22" t="n">
        <f aca="false">B50/3</f>
        <v>20435.6363636364</v>
      </c>
    </row>
    <row r="53" customFormat="false" ht="15" hidden="false" customHeight="true" outlineLevel="0" collapsed="false">
      <c r="A53" s="4" t="s">
        <v>250</v>
      </c>
      <c r="B53" s="4" t="s">
        <v>251</v>
      </c>
      <c r="C53" s="4" t="s">
        <v>252</v>
      </c>
    </row>
    <row r="54" customFormat="false" ht="15" hidden="false" customHeight="true" outlineLevel="0" collapsed="false">
      <c r="A54" s="9" t="s">
        <v>253</v>
      </c>
      <c r="B54" s="17" t="s">
        <v>254</v>
      </c>
      <c r="C54" s="9" t="s">
        <v>255</v>
      </c>
    </row>
    <row r="55" customFormat="false" ht="15" hidden="false" customHeight="true" outlineLevel="0" collapsed="false">
      <c r="A55" s="17" t="s">
        <v>256</v>
      </c>
      <c r="B55" s="22" t="n">
        <f aca="false">B12/3</f>
        <v>25969.696969697</v>
      </c>
      <c r="C55" s="9" t="s">
        <v>257</v>
      </c>
    </row>
    <row r="56" customFormat="false" ht="15" hidden="false" customHeight="true" outlineLevel="0" collapsed="false">
      <c r="A56" s="17" t="s">
        <v>258</v>
      </c>
      <c r="B56" s="22" t="n">
        <f aca="false">B51</f>
        <v>20435.6363636364</v>
      </c>
      <c r="C56" s="9" t="s">
        <v>259</v>
      </c>
    </row>
    <row r="58" customFormat="false" ht="15" hidden="false" customHeight="true" outlineLevel="0" collapsed="false">
      <c r="A58" s="8" t="s">
        <v>260</v>
      </c>
    </row>
    <row r="59" customFormat="false" ht="15" hidden="false" customHeight="true" outlineLevel="0" collapsed="false">
      <c r="A59" s="17" t="s">
        <v>261</v>
      </c>
      <c r="B59" s="22" t="n">
        <f aca="false">가정!$B$8/(1+가정!$B$40)*(1-가정!$B$60)-(가정!$B$29+가정!$B$30)</f>
        <v>14609.0909090909</v>
      </c>
    </row>
    <row r="60" customFormat="false" ht="15" hidden="false" customHeight="true" outlineLevel="0" collapsed="false">
      <c r="A60" s="17" t="s">
        <v>262</v>
      </c>
      <c r="B60" s="22" t="n">
        <f aca="false">B59-B7</f>
        <v>-4868.18181818182</v>
      </c>
    </row>
    <row r="61" customFormat="false" ht="15" hidden="false" customHeight="true" outlineLevel="0" collapsed="false">
      <c r="A61" s="3" t="s">
        <v>263</v>
      </c>
    </row>
    <row r="63" customFormat="false" ht="15" hidden="false" customHeight="true" outlineLevel="0" collapsed="false">
      <c r="A63" s="8" t="s">
        <v>264</v>
      </c>
    </row>
    <row r="64" customFormat="false" ht="15" hidden="false" customHeight="true" outlineLevel="0" collapsed="false">
      <c r="A64" s="9" t="s">
        <v>265</v>
      </c>
      <c r="B64" s="22" t="n">
        <f aca="false">B5-(B4*가정!$B$28+가정!$B$29)</f>
        <v>20677.2727272727</v>
      </c>
    </row>
    <row r="65" customFormat="false" ht="15" hidden="false" customHeight="true" outlineLevel="0" collapsed="false">
      <c r="A65" s="9" t="s">
        <v>266</v>
      </c>
      <c r="B65" s="22" t="n">
        <f aca="false">B64/0.25</f>
        <v>82709.0909090909</v>
      </c>
    </row>
    <row r="66" customFormat="false" ht="15" hidden="false" customHeight="true" outlineLevel="0" collapsed="false">
      <c r="A66" s="4" t="s">
        <v>267</v>
      </c>
      <c r="B66" s="4" t="s">
        <v>268</v>
      </c>
      <c r="C66" s="27" t="s">
        <v>269</v>
      </c>
      <c r="D66" s="27" t="s">
        <v>270</v>
      </c>
    </row>
    <row r="67" customFormat="false" ht="15" hidden="false" customHeight="true" outlineLevel="0" collapsed="false">
      <c r="A67" s="9" t="s">
        <v>271</v>
      </c>
      <c r="B67" s="22" t="n">
        <f aca="false">$B$64-가정!$B$64</f>
        <v>19477.2727272727</v>
      </c>
      <c r="C67" s="16" t="n">
        <f aca="false">B67/90000</f>
        <v>0.216414141414141</v>
      </c>
      <c r="D67" s="16" t="n">
        <f aca="false">B67/$B$65</f>
        <v>0.235491316772917</v>
      </c>
    </row>
    <row r="68" customFormat="false" ht="15" hidden="false" customHeight="true" outlineLevel="0" collapsed="false">
      <c r="A68" s="9" t="s">
        <v>272</v>
      </c>
      <c r="B68" s="22" t="n">
        <f aca="false">$B$64-가정!$B$65</f>
        <v>15877.2727272727</v>
      </c>
      <c r="C68" s="16" t="n">
        <f aca="false">B68/90000</f>
        <v>0.176414141414141</v>
      </c>
      <c r="D68" s="16" t="n">
        <f aca="false">B68/$B$65</f>
        <v>0.191965267091669</v>
      </c>
    </row>
    <row r="69" customFormat="false" ht="15" hidden="false" customHeight="true" outlineLevel="0" collapsed="false">
      <c r="A69" s="9" t="s">
        <v>273</v>
      </c>
      <c r="B69" s="22" t="n">
        <f aca="false">$B$64-가정!$B$66</f>
        <v>13877.2727272727</v>
      </c>
      <c r="C69" s="16" t="n">
        <f aca="false">B69/90000</f>
        <v>0.154191919191919</v>
      </c>
      <c r="D69" s="16" t="n">
        <f aca="false">B69/$B$65</f>
        <v>0.167784128379864</v>
      </c>
    </row>
    <row r="71" customFormat="false" ht="15" hidden="false" customHeight="true" outlineLevel="0" collapsed="false">
      <c r="A71" s="3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2026-07-05T05:29:00Z</dcterms:created>
  <dc:creator>openpyxl</dc:creator>
  <dc:description/>
  <dc:language>en-US</dc:language>
  <cp:lastModifiedBy/>
  <dcterms:modified xsi:type="dcterms:W3CDTF">2026-07-05T10:36:30Z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